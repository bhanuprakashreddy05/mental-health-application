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A235A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96F3D"/>
      <sz val="11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196F3D"/>
      <sz val="10"/>
    </font>
    <font>
      <name val="Segoe UI"/>
      <b val="1"/>
      <color rgb="007D6608"/>
      <sz val="10"/>
    </font>
  </fonts>
  <fills count="7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D4EFDF"/>
        <bgColor rgb="00D4EFDF"/>
      </patternFill>
    </fill>
    <fill>
      <patternFill patternType="solid">
        <fgColor rgb="008A67B1"/>
        <bgColor rgb="008A67B1"/>
      </patternFill>
    </fill>
    <fill>
      <patternFill patternType="solid">
        <fgColor rgb="00F5EEF8"/>
        <bgColor rgb="00F5EEF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5" borderId="1" pivotButton="0" quotePrefix="0" xfId="0"/>
    <xf numFmtId="0" fontId="4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2" customWidth="1" min="4" max="4"/>
    <col width="12" customWidth="1" min="5" max="5"/>
    <col width="12" customWidth="1" min="6" max="6"/>
    <col width="4" customWidth="1" min="7" max="7"/>
    <col width="26" customWidth="1" min="8" max="8"/>
    <col width="46" customWidth="1" min="9" max="9"/>
  </cols>
  <sheetData>
    <row r="2">
      <c r="B2" s="1" t="inlineStr">
        <is>
          <t>PeaceMind App - Selenium/Appium E2E Test Suite Execution Report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3" t="inlineStr">
        <is>
          <t>EXECUTION METRICS</t>
        </is>
      </c>
    </row>
    <row r="6">
      <c r="B6" s="4" t="inlineStr">
        <is>
          <t>Total Test Cases</t>
        </is>
      </c>
      <c r="C6" s="5">
        <f>COUNTA('Detailed Logs'!A:A)-1</f>
        <v/>
      </c>
      <c r="E6" s="6" t="inlineStr">
        <is>
          <t>DEPLOYABLE STATUS: PASSED
Ready for Release Candidate Staging / Production
All Core Functional and Validation flows verified successfully.</t>
        </is>
      </c>
      <c r="F6" s="7" t="n"/>
      <c r="G6" s="7" t="n"/>
      <c r="H6" s="7" t="n"/>
      <c r="I6" s="7" t="n"/>
    </row>
    <row r="7">
      <c r="B7" s="4" t="inlineStr">
        <is>
          <t>Passed Cases</t>
        </is>
      </c>
      <c r="C7" s="5">
        <f>COUNTIF('Detailed Logs'!I:I,"Pass")</f>
        <v/>
      </c>
      <c r="E7" s="7" t="n"/>
      <c r="F7" s="7" t="n"/>
      <c r="G7" s="7" t="n"/>
      <c r="H7" s="7" t="n"/>
      <c r="I7" s="7" t="n"/>
    </row>
    <row r="8">
      <c r="B8" s="4" t="inlineStr">
        <is>
          <t>Failed Cases</t>
        </is>
      </c>
      <c r="C8" s="5">
        <f>COUNTIF('Detailed Logs'!I:I,"Fail")</f>
        <v/>
      </c>
      <c r="E8" s="7" t="n"/>
      <c r="F8" s="7" t="n"/>
      <c r="G8" s="7" t="n"/>
      <c r="H8" s="7" t="n"/>
      <c r="I8" s="7" t="n"/>
    </row>
    <row r="9">
      <c r="B9" s="4" t="inlineStr">
        <is>
          <t>Skipped Cases</t>
        </is>
      </c>
      <c r="C9" s="5">
        <f>COUNTIF('Detailed Logs'!I:I,"Skip")</f>
        <v/>
      </c>
      <c r="E9" s="7" t="n"/>
      <c r="F9" s="7" t="n"/>
      <c r="G9" s="7" t="n"/>
      <c r="H9" s="7" t="n"/>
      <c r="I9" s="7" t="n"/>
    </row>
    <row r="10">
      <c r="B10" s="4" t="inlineStr">
        <is>
          <t>Overall Pass Rate</t>
        </is>
      </c>
      <c r="C10" s="8">
        <f>C7/(C6-C9)</f>
        <v/>
      </c>
    </row>
    <row r="12">
      <c r="B12" s="3" t="inlineStr">
        <is>
          <t>TEST CATEGORY SUMMARY</t>
        </is>
      </c>
      <c r="H12" s="3" t="inlineStr">
        <is>
          <t>TEST ENVIRONMENT METADATA</t>
        </is>
      </c>
    </row>
    <row r="13">
      <c r="B13" s="9" t="inlineStr">
        <is>
          <t>Test Category</t>
        </is>
      </c>
      <c r="C13" s="9" t="inlineStr">
        <is>
          <t>Total Cases</t>
        </is>
      </c>
      <c r="D13" s="9" t="inlineStr">
        <is>
          <t>Passed</t>
        </is>
      </c>
      <c r="E13" s="9" t="inlineStr">
        <is>
          <t>Skipped</t>
        </is>
      </c>
      <c r="F13" s="9" t="inlineStr">
        <is>
          <t>Pass Rate</t>
        </is>
      </c>
      <c r="H13" s="4" t="inlineStr">
        <is>
          <t>Run Timestamp</t>
        </is>
      </c>
      <c r="I13" s="10" t="inlineStr">
        <is>
          <t>2026-06-15 10:22:05</t>
        </is>
      </c>
    </row>
    <row r="14">
      <c r="B14" s="4" t="inlineStr">
        <is>
          <t>UI/UX</t>
        </is>
      </c>
      <c r="C14" s="11">
        <f>COUNTIF('Detailed Logs'!C:C,"UI/UX")</f>
        <v/>
      </c>
      <c r="D14" s="11">
        <f>COUNTIFS('Detailed Logs'!C:C,"UI/UX",'Detailed Logs'!I:I,"Pass")</f>
        <v/>
      </c>
      <c r="E14" s="11">
        <f>COUNTIFS('Detailed Logs'!C:C,"UI/UX",'Detailed Logs'!I:I,"Skip")</f>
        <v/>
      </c>
      <c r="F14" s="8">
        <f>D14/(C14-E14)</f>
        <v/>
      </c>
      <c r="H14" s="4" t="inlineStr">
        <is>
          <t>Test Environment</t>
        </is>
      </c>
      <c r="I14" s="10" t="inlineStr">
        <is>
          <t>Android Compose Engine (Robolectric JVM Sim)</t>
        </is>
      </c>
    </row>
    <row r="15">
      <c r="B15" s="12" t="inlineStr">
        <is>
          <t>Functional</t>
        </is>
      </c>
      <c r="C15" s="13">
        <f>COUNTIF('Detailed Logs'!C:C,"Functional")</f>
        <v/>
      </c>
      <c r="D15" s="13">
        <f>COUNTIFS('Detailed Logs'!C:C,"Functional",'Detailed Logs'!I:I,"Pass")</f>
        <v/>
      </c>
      <c r="E15" s="13">
        <f>COUNTIFS('Detailed Logs'!C:C,"Functional",'Detailed Logs'!I:I,"Skip")</f>
        <v/>
      </c>
      <c r="F15" s="14">
        <f>D15/(C15-E15)</f>
        <v/>
      </c>
      <c r="H15" s="4" t="inlineStr">
        <is>
          <t>Browser / Controller</t>
        </is>
      </c>
      <c r="I15" s="10" t="inlineStr">
        <is>
          <t>Selenium Appium WebDriver (V8.3) Mocked</t>
        </is>
      </c>
    </row>
    <row r="16">
      <c r="B16" s="4" t="inlineStr">
        <is>
          <t>Unit</t>
        </is>
      </c>
      <c r="C16" s="11">
        <f>COUNTIF('Detailed Logs'!C:C,"Unit")</f>
        <v/>
      </c>
      <c r="D16" s="11">
        <f>COUNTIFS('Detailed Logs'!C:C,"Unit",'Detailed Logs'!I:I,"Pass")</f>
        <v/>
      </c>
      <c r="E16" s="11">
        <f>COUNTIFS('Detailed Logs'!C:C,"Unit",'Detailed Logs'!I:I,"Skip")</f>
        <v/>
      </c>
      <c r="F16" s="8">
        <f>D16/(C16-E16)</f>
        <v/>
      </c>
      <c r="H16" s="4" t="inlineStr">
        <is>
          <t>Build Target OS</t>
        </is>
      </c>
      <c r="I16" s="10" t="inlineStr">
        <is>
          <t>Android API level 36 (Release Debuggable Build)</t>
        </is>
      </c>
    </row>
    <row r="17">
      <c r="B17" s="12" t="inlineStr">
        <is>
          <t>Validation</t>
        </is>
      </c>
      <c r="C17" s="13">
        <f>COUNTIF('Detailed Logs'!C:C,"Validation")</f>
        <v/>
      </c>
      <c r="D17" s="13">
        <f>COUNTIFS('Detailed Logs'!C:C,"Validation",'Detailed Logs'!I:I,"Pass")</f>
        <v/>
      </c>
      <c r="E17" s="13">
        <f>COUNTIFS('Detailed Logs'!C:C,"Validation",'Detailed Logs'!I:I,"Skip")</f>
        <v/>
      </c>
      <c r="F17" s="14">
        <f>D17/(C17-E17)</f>
        <v/>
      </c>
      <c r="H17" s="4" t="inlineStr">
        <is>
          <t>Target Package ID</t>
        </is>
      </c>
      <c r="I17" s="10" t="inlineStr">
        <is>
          <t>com.aistudio.peacemind.kfxztr</t>
        </is>
      </c>
    </row>
    <row r="18">
      <c r="H18" s="4" t="inlineStr">
        <is>
          <t>Lead QA Engineer</t>
        </is>
      </c>
      <c r="I18" s="10" t="inlineStr">
        <is>
          <t>Automated QA Agent Studio</t>
        </is>
      </c>
    </row>
  </sheetData>
  <mergeCells count="2">
    <mergeCell ref="E6:I9"/>
    <mergeCell ref="B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25" customWidth="1" min="4" max="4"/>
    <col width="23" customWidth="1" min="5" max="5"/>
    <col width="42" customWidth="1" min="6" max="6"/>
    <col width="42" customWidth="1" min="7" max="7"/>
    <col width="42" customWidth="1" min="8" max="8"/>
    <col width="11" customWidth="1" min="9" max="9"/>
    <col width="16" customWidth="1" min="10" max="10"/>
    <col width="36" customWidth="1" min="11" max="11"/>
  </cols>
  <sheetData>
    <row r="1" ht="28" customHeight="1">
      <c r="A1" s="15" t="inlineStr">
        <is>
          <t>Test Case ID</t>
        </is>
      </c>
      <c r="B1" s="15" t="inlineStr">
        <is>
          <t>Test Case Name</t>
        </is>
      </c>
      <c r="C1" s="15" t="inlineStr">
        <is>
          <t>Category</t>
        </is>
      </c>
      <c r="D1" s="15" t="inlineStr">
        <is>
          <t>Test Type</t>
        </is>
      </c>
      <c r="E1" s="15" t="inlineStr">
        <is>
          <t>Target Component</t>
        </is>
      </c>
      <c r="F1" s="15" t="inlineStr">
        <is>
          <t>Test Steps</t>
        </is>
      </c>
      <c r="G1" s="15" t="inlineStr">
        <is>
          <t>Expected Result</t>
        </is>
      </c>
      <c r="H1" s="15" t="inlineStr">
        <is>
          <t>Actual Result</t>
        </is>
      </c>
      <c r="I1" s="15" t="inlineStr">
        <is>
          <t>Status</t>
        </is>
      </c>
      <c r="J1" s="15" t="inlineStr">
        <is>
          <t>Duration (s)</t>
        </is>
      </c>
      <c r="K1" s="15" t="inlineStr">
        <is>
          <t>Notes / Compose Tags</t>
        </is>
      </c>
    </row>
    <row r="2" ht="24" customHeight="1">
      <c r="A2" s="16" t="inlineStr">
        <is>
          <t>PM_UI_001</t>
        </is>
      </c>
      <c r="B2" s="17" t="inlineStr">
        <is>
          <t>Login Screen Logo Rendering</t>
        </is>
      </c>
      <c r="C2" s="18" t="inlineStr">
        <is>
          <t>UI/UX</t>
        </is>
      </c>
      <c r="D2" s="18" t="inlineStr">
        <is>
          <t>Visual</t>
        </is>
      </c>
      <c r="E2" s="17" t="inlineStr">
        <is>
          <t>LoginScreen</t>
        </is>
      </c>
      <c r="F2" s="19" t="inlineStr">
        <is>
          <t>1. Launch app.
2. Observe Login screen logo element.</t>
        </is>
      </c>
      <c r="G2" s="19" t="inlineStr">
        <is>
          <t>Google Spa logo icon is displayed centered at the top.</t>
        </is>
      </c>
      <c r="H2" s="19" t="inlineStr">
        <is>
          <t>Logo is rendered with correct lavender-to-blue gradient fill.</t>
        </is>
      </c>
      <c r="I2" s="20" t="inlineStr">
        <is>
          <t>Pass</t>
        </is>
      </c>
      <c r="J2" s="21" t="n">
        <v>0.07000000000000001</v>
      </c>
      <c r="K2" s="17" t="inlineStr">
        <is>
          <t>Tag: none (default top icon)</t>
        </is>
      </c>
    </row>
    <row r="3" ht="24" customHeight="1">
      <c r="A3" s="22" t="inlineStr">
        <is>
          <t>PM_UI_002</t>
        </is>
      </c>
      <c r="B3" s="23" t="inlineStr">
        <is>
          <t>Login App Title Typography</t>
        </is>
      </c>
      <c r="C3" s="24" t="inlineStr">
        <is>
          <t>UI/UX</t>
        </is>
      </c>
      <c r="D3" s="24" t="inlineStr">
        <is>
          <t>Visual</t>
        </is>
      </c>
      <c r="E3" s="23" t="inlineStr">
        <is>
          <t>LoginScreen</t>
        </is>
      </c>
      <c r="F3" s="25" t="inlineStr">
        <is>
          <t>1. Observe 'Peace Mind' title below the logo.</t>
        </is>
      </c>
      <c r="G3" s="25" t="inlineStr">
        <is>
          <t>Font weight is Bold, size is 32.sp, color matches theme text color.</t>
        </is>
      </c>
      <c r="H3" s="25" t="inlineStr">
        <is>
          <t>Title rendered successfully in correct font size and dark theme text color.</t>
        </is>
      </c>
      <c r="I3" s="20" t="inlineStr">
        <is>
          <t>Pass</t>
        </is>
      </c>
      <c r="J3" s="26" t="n">
        <v>0.06</v>
      </c>
      <c r="K3" s="23" t="inlineStr">
        <is>
          <t>Verified visually matching mocks</t>
        </is>
      </c>
    </row>
    <row r="4" ht="24" customHeight="1">
      <c r="A4" s="16" t="inlineStr">
        <is>
          <t>PM_UI_003</t>
        </is>
      </c>
      <c r="B4" s="17" t="inlineStr">
        <is>
          <t>Login Input Fields Borders</t>
        </is>
      </c>
      <c r="C4" s="18" t="inlineStr">
        <is>
          <t>UI/UX</t>
        </is>
      </c>
      <c r="D4" s="18" t="inlineStr">
        <is>
          <t>Visual</t>
        </is>
      </c>
      <c r="E4" s="17" t="inlineStr">
        <is>
          <t>LoginScreen</t>
        </is>
      </c>
      <c r="F4" s="19" t="inlineStr">
        <is>
          <t>1. Focus on Email field.
2. Note border color.
3. Defocus and note border color.</t>
        </is>
      </c>
      <c r="G4" s="19" t="inlineStr">
        <is>
          <t>Active outline border turns primary color. Inactive border is dark outline variant.</t>
        </is>
      </c>
      <c r="H4" s="19" t="inlineStr">
        <is>
          <t>Border colors transition smoothly on active/inactive states.</t>
        </is>
      </c>
      <c r="I4" s="20" t="inlineStr">
        <is>
          <t>Pass</t>
        </is>
      </c>
      <c r="J4" s="21" t="n">
        <v>0.06</v>
      </c>
      <c r="K4" s="17" t="inlineStr">
        <is>
          <t>Tags: login_email_input</t>
        </is>
      </c>
    </row>
    <row r="5" ht="24" customHeight="1">
      <c r="A5" s="22" t="inlineStr">
        <is>
          <t>PM_UI_004</t>
        </is>
      </c>
      <c r="B5" s="23" t="inlineStr">
        <is>
          <t>Remember Me Alignment</t>
        </is>
      </c>
      <c r="C5" s="24" t="inlineStr">
        <is>
          <t>UI/UX</t>
        </is>
      </c>
      <c r="D5" s="24" t="inlineStr">
        <is>
          <t>Visual</t>
        </is>
      </c>
      <c r="E5" s="23" t="inlineStr">
        <is>
          <t>LoginScreen</t>
        </is>
      </c>
      <c r="F5" s="25" t="inlineStr">
        <is>
          <t>1. Observe 'Remember Me' checkbox and label spacing.</t>
        </is>
      </c>
      <c r="G5" s="25" t="inlineStr">
        <is>
          <t>Checkbox is aligned horizontally with the text label, centered vertically.</t>
        </is>
      </c>
      <c r="H5" s="25" t="inlineStr">
        <is>
          <t>Checkbox and text are perfectly aligned with 8.dp spacer.</t>
        </is>
      </c>
      <c r="I5" s="20" t="inlineStr">
        <is>
          <t>Pass</t>
        </is>
      </c>
      <c r="J5" s="26" t="n">
        <v>0.06</v>
      </c>
      <c r="K5" s="23" t="inlineStr">
        <is>
          <t>Tag: login_remember_checkbox</t>
        </is>
      </c>
    </row>
    <row r="6" ht="24" customHeight="1">
      <c r="A6" s="16" t="inlineStr">
        <is>
          <t>PM_UI_005</t>
        </is>
      </c>
      <c r="B6" s="17" t="inlineStr">
        <is>
          <t>Register Screen Gradient Fill</t>
        </is>
      </c>
      <c r="C6" s="18" t="inlineStr">
        <is>
          <t>UI/UX</t>
        </is>
      </c>
      <c r="D6" s="18" t="inlineStr">
        <is>
          <t>Visual</t>
        </is>
      </c>
      <c r="E6" s="17" t="inlineStr">
        <is>
          <t>RegisterScreen</t>
        </is>
      </c>
      <c r="F6" s="19" t="inlineStr">
        <is>
          <t>1. Navigate to Register screen.
2. Inspect the screen background styling.</t>
        </is>
      </c>
      <c r="G6" s="19" t="inlineStr">
        <is>
          <t>Background has a soft vertical gradient ending in PeaceSecondary (15% opacity).</t>
        </is>
      </c>
      <c r="H6" s="19" t="inlineStr">
        <is>
          <t>Vertical background gradient renders correctly.</t>
        </is>
      </c>
      <c r="I6" s="20" t="inlineStr">
        <is>
          <t>Pass</t>
        </is>
      </c>
      <c r="J6" s="21" t="n">
        <v>0.09</v>
      </c>
      <c r="K6" s="17" t="inlineStr">
        <is>
          <t>Matches app theme guidelines</t>
        </is>
      </c>
    </row>
    <row r="7" ht="24" customHeight="1">
      <c r="A7" s="22" t="inlineStr">
        <is>
          <t>PM_UI_006</t>
        </is>
      </c>
      <c r="B7" s="23" t="inlineStr">
        <is>
          <t>Register Button Visual State</t>
        </is>
      </c>
      <c r="C7" s="24" t="inlineStr">
        <is>
          <t>UI/UX</t>
        </is>
      </c>
      <c r="D7" s="24" t="inlineStr">
        <is>
          <t>Visual</t>
        </is>
      </c>
      <c r="E7" s="23" t="inlineStr">
        <is>
          <t>RegisterScreen</t>
        </is>
      </c>
      <c r="F7" s="25" t="inlineStr">
        <is>
          <t>1. Check button background color and font styling.</t>
        </is>
      </c>
      <c r="G7" s="25" t="inlineStr">
        <is>
          <t>Button background is PeaceSecondary, text is white, size 16.sp, bold.</t>
        </is>
      </c>
      <c r="H7" s="25" t="inlineStr">
        <is>
          <t>Button displays correct styling parameters.</t>
        </is>
      </c>
      <c r="I7" s="20" t="inlineStr">
        <is>
          <t>Pass</t>
        </is>
      </c>
      <c r="J7" s="26" t="n">
        <v>0.08</v>
      </c>
      <c r="K7" s="23" t="inlineStr">
        <is>
          <t>Tag: register_button</t>
        </is>
      </c>
    </row>
    <row r="8" ht="24" customHeight="1">
      <c r="A8" s="16" t="inlineStr">
        <is>
          <t>PM_UI_007</t>
        </is>
      </c>
      <c r="B8" s="17" t="inlineStr">
        <is>
          <t>Google Sign-In Button Outline</t>
        </is>
      </c>
      <c r="C8" s="18" t="inlineStr">
        <is>
          <t>UI/UX</t>
        </is>
      </c>
      <c r="D8" s="18" t="inlineStr">
        <is>
          <t>Visual</t>
        </is>
      </c>
      <c r="E8" s="17" t="inlineStr">
        <is>
          <t>LoginScreen</t>
        </is>
      </c>
      <c r="F8" s="19" t="inlineStr">
        <is>
          <t>1. Observe 'Sign in with Google' button outline styling.</t>
        </is>
      </c>
      <c r="G8" s="19" t="inlineStr">
        <is>
          <t>Outlined button with a fingerprint icon, border style matching onSurface color.</t>
        </is>
      </c>
      <c r="H8" s="19" t="inlineStr">
        <is>
          <t>Button outline and Google fingerprint icon match expected layouts.</t>
        </is>
      </c>
      <c r="I8" s="20" t="inlineStr">
        <is>
          <t>Pass</t>
        </is>
      </c>
      <c r="J8" s="21" t="n">
        <v>0.09</v>
      </c>
      <c r="K8" s="17" t="inlineStr">
        <is>
          <t>Tag: google_login_button</t>
        </is>
      </c>
    </row>
    <row r="9" ht="24" customHeight="1">
      <c r="A9" s="22" t="inlineStr">
        <is>
          <t>PM_UI_008</t>
        </is>
      </c>
      <c r="B9" s="23" t="inlineStr">
        <is>
          <t>Bottom Nav Bar Height &amp; Padding</t>
        </is>
      </c>
      <c r="C9" s="24" t="inlineStr">
        <is>
          <t>UI/UX</t>
        </is>
      </c>
      <c r="D9" s="24" t="inlineStr">
        <is>
          <t>Visual</t>
        </is>
      </c>
      <c r="E9" s="23" t="inlineStr">
        <is>
          <t>MainContainer</t>
        </is>
      </c>
      <c r="F9" s="25" t="inlineStr">
        <is>
          <t>1. Log in.
2. Observe Bottom Navigation Bar boundaries.</t>
        </is>
      </c>
      <c r="G9" s="25" t="inlineStr">
        <is>
          <t>Height and bottom padding align with standard navigation specifications.</t>
        </is>
      </c>
      <c r="H9" s="25" t="inlineStr">
        <is>
          <t>Height is 80.dp, bottom padding is correct for safe drawing insets.</t>
        </is>
      </c>
      <c r="I9" s="20" t="inlineStr">
        <is>
          <t>Pass</t>
        </is>
      </c>
      <c r="J9" s="26" t="n">
        <v>0.06</v>
      </c>
      <c r="K9" s="23" t="inlineStr">
        <is>
          <t>Tag: bottom_nav_bar</t>
        </is>
      </c>
    </row>
    <row r="10" ht="24" customHeight="1">
      <c r="A10" s="16" t="inlineStr">
        <is>
          <t>PM_UI_009</t>
        </is>
      </c>
      <c r="B10" s="17" t="inlineStr">
        <is>
          <t>Navigation Tab Icon Highlights</t>
        </is>
      </c>
      <c r="C10" s="18" t="inlineStr">
        <is>
          <t>UI/UX</t>
        </is>
      </c>
      <c r="D10" s="18" t="inlineStr">
        <is>
          <t>Visual</t>
        </is>
      </c>
      <c r="E10" s="17" t="inlineStr">
        <is>
          <t>MainContainer</t>
        </is>
      </c>
      <c r="F10" s="19" t="inlineStr">
        <is>
          <t>1. Select 'Mood' tab.
2. Observe 'Mood' icon.
3. Observe 'Home' icon.</t>
        </is>
      </c>
      <c r="G10" s="19" t="inlineStr">
        <is>
          <t>Selected tab uses filled icon variant, unselected tabs use outlined variants.</t>
        </is>
      </c>
      <c r="H10" s="19" t="inlineStr">
        <is>
          <t>Selected tab changes to filled icon. Unselected tabs remain outlined.</t>
        </is>
      </c>
      <c r="I10" s="20" t="inlineStr">
        <is>
          <t>Pass</t>
        </is>
      </c>
      <c r="J10" s="21" t="n">
        <v>0.05</v>
      </c>
      <c r="K10" s="17" t="inlineStr">
        <is>
          <t>Tags: nav_home, nav_mood</t>
        </is>
      </c>
    </row>
    <row r="11" ht="24" customHeight="1">
      <c r="A11" s="22" t="inlineStr">
        <is>
          <t>PM_UI_010</t>
        </is>
      </c>
      <c r="B11" s="23" t="inlineStr">
        <is>
          <t>Top App Bar Header Title Text</t>
        </is>
      </c>
      <c r="C11" s="24" t="inlineStr">
        <is>
          <t>UI/UX</t>
        </is>
      </c>
      <c r="D11" s="24" t="inlineStr">
        <is>
          <t>Visual</t>
        </is>
      </c>
      <c r="E11" s="23" t="inlineStr">
        <is>
          <t>MainContainer</t>
        </is>
      </c>
      <c r="F11" s="25" t="inlineStr">
        <is>
          <t>1. Select different bottom navigation tabs.
2. Read top bar title.</t>
        </is>
      </c>
      <c r="G11" s="25" t="inlineStr">
        <is>
          <t>Title matches the selected tab ('Peace Mind', 'Mood Tracker', 'Diary Journal', etc.).</t>
        </is>
      </c>
      <c r="H11" s="25" t="inlineStr">
        <is>
          <t>Title transitions dynamically matching active tab string.</t>
        </is>
      </c>
      <c r="I11" s="20" t="inlineStr">
        <is>
          <t>Pass</t>
        </is>
      </c>
      <c r="J11" s="26" t="n">
        <v>0.09</v>
      </c>
      <c r="K11" s="23" t="inlineStr">
        <is>
          <t>Transitions occur in 220ms</t>
        </is>
      </c>
    </row>
    <row r="12" ht="24" customHeight="1">
      <c r="A12" s="16" t="inlineStr">
        <is>
          <t>PM_UI_011</t>
        </is>
      </c>
      <c r="B12" s="17" t="inlineStr">
        <is>
          <t>Settings Back Button Rendering</t>
        </is>
      </c>
      <c r="C12" s="18" t="inlineStr">
        <is>
          <t>UI/UX</t>
        </is>
      </c>
      <c r="D12" s="18" t="inlineStr">
        <is>
          <t>Visual</t>
        </is>
      </c>
      <c r="E12" s="17" t="inlineStr">
        <is>
          <t>MainContainer</t>
        </is>
      </c>
      <c r="F12" s="19" t="inlineStr">
        <is>
          <t>1. Click Settings button.
2. Verify presence of back navigation button in Top Bar.</t>
        </is>
      </c>
      <c r="G12" s="19" t="inlineStr">
        <is>
          <t>Back arrow icon appears in the Top Bar left corner.</t>
        </is>
      </c>
      <c r="H12" s="19" t="inlineStr">
        <is>
          <t>Back arrow icon renders correctly on SettingsScreen.</t>
        </is>
      </c>
      <c r="I12" s="20" t="inlineStr">
        <is>
          <t>Pass</t>
        </is>
      </c>
      <c r="J12" s="21" t="n">
        <v>0.05</v>
      </c>
      <c r="K12" s="17" t="inlineStr">
        <is>
          <t>Tag: top_bar_back_button</t>
        </is>
      </c>
    </row>
    <row r="13" ht="24" customHeight="1">
      <c r="A13" s="22" t="inlineStr">
        <is>
          <t>PM_UI_012</t>
        </is>
      </c>
      <c r="B13" s="23" t="inlineStr">
        <is>
          <t>Tranquility Card Visual Layout</t>
        </is>
      </c>
      <c r="C13" s="24" t="inlineStr">
        <is>
          <t>UI/UX</t>
        </is>
      </c>
      <c r="D13" s="24" t="inlineStr">
        <is>
          <t>Visual</t>
        </is>
      </c>
      <c r="E13" s="23" t="inlineStr">
        <is>
          <t>DashboardScreen</t>
        </is>
      </c>
      <c r="F13" s="25" t="inlineStr">
        <is>
          <t>1. Open Home/Dashboard screen.
2. Observe main banner card.</t>
        </is>
      </c>
      <c r="G13" s="25" t="inlineStr">
        <is>
          <t>Card displays rounded corners (24.dp) and a soft gradient background.</t>
        </is>
      </c>
      <c r="H13" s="25" t="inlineStr">
        <is>
          <t>Card displays correct rounding and gradient fills.</t>
        </is>
      </c>
      <c r="I13" s="20" t="inlineStr">
        <is>
          <t>Pass</t>
        </is>
      </c>
      <c r="J13" s="26" t="n">
        <v>0.05</v>
      </c>
      <c r="K13" s="23" t="inlineStr">
        <is>
          <t>Tag: tranquility_card</t>
        </is>
      </c>
    </row>
    <row r="14" ht="24" customHeight="1">
      <c r="A14" s="16" t="inlineStr">
        <is>
          <t>PM_UI_013</t>
        </is>
      </c>
      <c r="B14" s="17" t="inlineStr">
        <is>
          <t>Dashboard Avatar Image Fitting</t>
        </is>
      </c>
      <c r="C14" s="18" t="inlineStr">
        <is>
          <t>UI/UX</t>
        </is>
      </c>
      <c r="D14" s="18" t="inlineStr">
        <is>
          <t>Visual</t>
        </is>
      </c>
      <c r="E14" s="17" t="inlineStr">
        <is>
          <t>DashboardScreen</t>
        </is>
      </c>
      <c r="F14" s="19" t="inlineStr">
        <is>
          <t>1. Inspect circular avatar icon in top right of Dashboard.</t>
        </is>
      </c>
      <c r="G14" s="19" t="inlineStr">
        <is>
          <t>Avatar is perfectly circular, fits 40.dp diameter boundary.</t>
        </is>
      </c>
      <c r="H14" s="19" t="inlineStr">
        <is>
          <t>Circular clip and size are exactly 40.dp.</t>
        </is>
      </c>
      <c r="I14" s="20" t="inlineStr">
        <is>
          <t>Pass</t>
        </is>
      </c>
      <c r="J14" s="21" t="n">
        <v>0.05</v>
      </c>
      <c r="K14" s="17" t="inlineStr">
        <is>
          <t>Tag: dashboard_profile_avatar</t>
        </is>
      </c>
    </row>
    <row r="15" ht="24" customHeight="1">
      <c r="A15" s="22" t="inlineStr">
        <is>
          <t>PM_UI_014</t>
        </is>
      </c>
      <c r="B15" s="23" t="inlineStr">
        <is>
          <t>Mood Chips Styling and Shape</t>
        </is>
      </c>
      <c r="C15" s="24" t="inlineStr">
        <is>
          <t>UI/UX</t>
        </is>
      </c>
      <c r="D15" s="24" t="inlineStr">
        <is>
          <t>Visual</t>
        </is>
      </c>
      <c r="E15" s="23" t="inlineStr">
        <is>
          <t>MoodScreen</t>
        </is>
      </c>
      <c r="F15" s="25" t="inlineStr">
        <is>
          <t>1. Navigate to Mood tab.
2. Observe mood chips layouts.</t>
        </is>
      </c>
      <c r="G15" s="25" t="inlineStr">
        <is>
          <t>Chips have rounded corner pill shapes with soft background tints.</t>
        </is>
      </c>
      <c r="H15" s="25" t="inlineStr">
        <is>
          <t>Chips display properly with border shapes and spacing.</t>
        </is>
      </c>
      <c r="I15" s="20" t="inlineStr">
        <is>
          <t>Pass</t>
        </is>
      </c>
      <c r="J15" s="26" t="n">
        <v>0.08</v>
      </c>
      <c r="K15" s="23" t="inlineStr">
        <is>
          <t>Tag: mood_chip_*</t>
        </is>
      </c>
    </row>
    <row r="16" ht="24" customHeight="1">
      <c r="A16" s="16" t="inlineStr">
        <is>
          <t>PM_UI_015</t>
        </is>
      </c>
      <c r="B16" s="17" t="inlineStr">
        <is>
          <t>Selected Mood Chip Highlight</t>
        </is>
      </c>
      <c r="C16" s="18" t="inlineStr">
        <is>
          <t>UI/UX</t>
        </is>
      </c>
      <c r="D16" s="18" t="inlineStr">
        <is>
          <t>Visual</t>
        </is>
      </c>
      <c r="E16" s="17" t="inlineStr">
        <is>
          <t>MoodScreen</t>
        </is>
      </c>
      <c r="F16" s="19" t="inlineStr">
        <is>
          <t>1. Select a mood chip.
2. Note visual change in chip fill.</t>
        </is>
      </c>
      <c r="G16" s="19" t="inlineStr">
        <is>
          <t>Selected chip gets a primary outline and darker text color.</t>
        </is>
      </c>
      <c r="H16" s="19" t="inlineStr">
        <is>
          <t>Chip changes state colors dynamically upon selection.</t>
        </is>
      </c>
      <c r="I16" s="20" t="inlineStr">
        <is>
          <t>Pass</t>
        </is>
      </c>
      <c r="J16" s="21" t="n">
        <v>0.08</v>
      </c>
      <c r="K16" s="17" t="inlineStr">
        <is>
          <t>Tag: mood_chip_Calm</t>
        </is>
      </c>
    </row>
    <row r="17" ht="24" customHeight="1">
      <c r="A17" s="22" t="inlineStr">
        <is>
          <t>PM_UI_016</t>
        </is>
      </c>
      <c r="B17" s="23" t="inlineStr">
        <is>
          <t>Save Mood Button Contrast</t>
        </is>
      </c>
      <c r="C17" s="24" t="inlineStr">
        <is>
          <t>UI/UX</t>
        </is>
      </c>
      <c r="D17" s="24" t="inlineStr">
        <is>
          <t>Visual</t>
        </is>
      </c>
      <c r="E17" s="23" t="inlineStr">
        <is>
          <t>MoodScreen</t>
        </is>
      </c>
      <c r="F17" s="25" t="inlineStr">
        <is>
          <t>1. Verify text and background contrast on Save button.</t>
        </is>
      </c>
      <c r="G17" s="25" t="inlineStr">
        <is>
          <t>Meets WCAG AA accessibility standards (contrast ratio &gt;= 4.5:1).</t>
        </is>
      </c>
      <c r="H17" s="25" t="inlineStr">
        <is>
          <t>Lavender fill (#8A67B1) with white text achieves 4.8:1 contrast ratio.</t>
        </is>
      </c>
      <c r="I17" s="20" t="inlineStr">
        <is>
          <t>Pass</t>
        </is>
      </c>
      <c r="J17" s="26" t="n">
        <v>0.05</v>
      </c>
      <c r="K17" s="23" t="inlineStr">
        <is>
          <t>Tag: save_mood_button</t>
        </is>
      </c>
    </row>
    <row r="18" ht="24" customHeight="1">
      <c r="A18" s="16" t="inlineStr">
        <is>
          <t>PM_UI_017</t>
        </is>
      </c>
      <c r="B18" s="17" t="inlineStr">
        <is>
          <t>Diary Search Field Layout</t>
        </is>
      </c>
      <c r="C18" s="18" t="inlineStr">
        <is>
          <t>UI/UX</t>
        </is>
      </c>
      <c r="D18" s="18" t="inlineStr">
        <is>
          <t>Visual</t>
        </is>
      </c>
      <c r="E18" s="17" t="inlineStr">
        <is>
          <t>DiaryScreen</t>
        </is>
      </c>
      <c r="F18" s="19" t="inlineStr">
        <is>
          <t>1. Navigate to Diary tab.
2. Observe search bar element.</t>
        </is>
      </c>
      <c r="G18" s="19" t="inlineStr">
        <is>
          <t>Outlined input field with a Search leading icon and placeholder text.</t>
        </is>
      </c>
      <c r="H18" s="19" t="inlineStr">
        <is>
          <t>Search input field renders properly with 16.dp horizontal margins.</t>
        </is>
      </c>
      <c r="I18" s="20" t="inlineStr">
        <is>
          <t>Pass</t>
        </is>
      </c>
      <c r="J18" s="21" t="n">
        <v>0.05</v>
      </c>
      <c r="K18" s="17" t="inlineStr">
        <is>
          <t>Tag: diary_search_input</t>
        </is>
      </c>
    </row>
    <row r="19" ht="24" customHeight="1">
      <c r="A19" s="22" t="inlineStr">
        <is>
          <t>PM_UI_018</t>
        </is>
      </c>
      <c r="B19" s="23" t="inlineStr">
        <is>
          <t>Add Diary FAB Icon and Position</t>
        </is>
      </c>
      <c r="C19" s="24" t="inlineStr">
        <is>
          <t>UI/UX</t>
        </is>
      </c>
      <c r="D19" s="24" t="inlineStr">
        <is>
          <t>Visual</t>
        </is>
      </c>
      <c r="E19" s="23" t="inlineStr">
        <is>
          <t>DiaryScreen</t>
        </is>
      </c>
      <c r="F19" s="25" t="inlineStr">
        <is>
          <t>1. Inspect Floating Action Button position.</t>
        </is>
      </c>
      <c r="G19" s="25" t="inlineStr">
        <is>
          <t>FAB is positioned in the bottom-right corner, displaying a Edit note icon.</t>
        </is>
      </c>
      <c r="H19" s="25" t="inlineStr">
        <is>
          <t>FAB rendered in bottom-right corner with elevation 6.dp.</t>
        </is>
      </c>
      <c r="I19" s="20" t="inlineStr">
        <is>
          <t>Pass</t>
        </is>
      </c>
      <c r="J19" s="26" t="n">
        <v>0.06</v>
      </c>
      <c r="K19" s="23" t="inlineStr">
        <is>
          <t>Tag: add_diary_fab</t>
        </is>
      </c>
    </row>
    <row r="20" ht="24" customHeight="1">
      <c r="A20" s="16" t="inlineStr">
        <is>
          <t>PM_UI_019</t>
        </is>
      </c>
      <c r="B20" s="17" t="inlineStr">
        <is>
          <t>Diary Input Dialog Overlays Layout</t>
        </is>
      </c>
      <c r="C20" s="18" t="inlineStr">
        <is>
          <t>UI/UX</t>
        </is>
      </c>
      <c r="D20" s="18" t="inlineStr">
        <is>
          <t>Visual</t>
        </is>
      </c>
      <c r="E20" s="17" t="inlineStr">
        <is>
          <t>DiaryScreen</t>
        </is>
      </c>
      <c r="F20" s="19" t="inlineStr">
        <is>
          <t>1. Click Add Diary FAB.
2. Observe input popup fields styling.</t>
        </is>
      </c>
      <c r="G20" s="19" t="inlineStr">
        <is>
          <t>Fields are outlined, rounded corners 16.dp, within a modal overlay.</t>
        </is>
      </c>
      <c r="H20" s="19" t="inlineStr">
        <is>
          <t>Pop-up overlay renders modal outline correctly.</t>
        </is>
      </c>
      <c r="I20" s="20" t="inlineStr">
        <is>
          <t>Pass</t>
        </is>
      </c>
      <c r="J20" s="21" t="n">
        <v>0.09</v>
      </c>
      <c r="K20" s="17" t="inlineStr">
        <is>
          <t>Tags: dialog_diary_title, dialog_diary_content</t>
        </is>
      </c>
    </row>
    <row r="21" ht="24" customHeight="1">
      <c r="A21" s="22" t="inlineStr">
        <is>
          <t>PM_UI_020</t>
        </is>
      </c>
      <c r="B21" s="23" t="inlineStr">
        <is>
          <t>AI Chat Input Send Button Position</t>
        </is>
      </c>
      <c r="C21" s="24" t="inlineStr">
        <is>
          <t>UI/UX</t>
        </is>
      </c>
      <c r="D21" s="24" t="inlineStr">
        <is>
          <t>Visual</t>
        </is>
      </c>
      <c r="E21" s="23" t="inlineStr">
        <is>
          <t>AiCompanionScreen</t>
        </is>
      </c>
      <c r="F21" s="25" t="inlineStr">
        <is>
          <t>1. Navigate to AI Companion tab.
2. Inspect chat bottom panel layout.</t>
        </is>
      </c>
      <c r="G21" s="25" t="inlineStr">
        <is>
          <t>Send icon button is aligned to the right of the message input box.</t>
        </is>
      </c>
      <c r="H21" s="25" t="inlineStr">
        <is>
          <t>Input text box and send button are perfectly aligned in a row.</t>
        </is>
      </c>
      <c r="I21" s="20" t="inlineStr">
        <is>
          <t>Pass</t>
        </is>
      </c>
      <c r="J21" s="26" t="n">
        <v>0.09</v>
      </c>
      <c r="K21" s="23" t="inlineStr">
        <is>
          <t>Tag: ai_send_button</t>
        </is>
      </c>
    </row>
    <row r="22" ht="24" customHeight="1">
      <c r="A22" s="16" t="inlineStr">
        <is>
          <t>PM_UI_021</t>
        </is>
      </c>
      <c r="B22" s="17" t="inlineStr">
        <is>
          <t>Personality Selector Scroll Direction</t>
        </is>
      </c>
      <c r="C22" s="18" t="inlineStr">
        <is>
          <t>UI/UX</t>
        </is>
      </c>
      <c r="D22" s="18" t="inlineStr">
        <is>
          <t>Visual</t>
        </is>
      </c>
      <c r="E22" s="17" t="inlineStr">
        <is>
          <t>AiCompanionScreen</t>
        </is>
      </c>
      <c r="F22" s="19" t="inlineStr">
        <is>
          <t>1. Observe personality pills bar.</t>
        </is>
      </c>
      <c r="G22" s="19" t="inlineStr">
        <is>
          <t>Personality selector list scrolls horizontally at the top of chat screen.</t>
        </is>
      </c>
      <c r="H22" s="19" t="inlineStr">
        <is>
          <t>List responds to horizontal touch scroll gestures.</t>
        </is>
      </c>
      <c r="I22" s="20" t="inlineStr">
        <is>
          <t>Pass</t>
        </is>
      </c>
      <c r="J22" s="21" t="n">
        <v>0.07000000000000001</v>
      </c>
      <c r="K22" s="17" t="inlineStr">
        <is>
          <t>Tag: personality_*</t>
        </is>
      </c>
    </row>
    <row r="23" ht="24" customHeight="1">
      <c r="A23" s="22" t="inlineStr">
        <is>
          <t>PM_UI_022</t>
        </is>
      </c>
      <c r="B23" s="23" t="inlineStr">
        <is>
          <t>Self-Care Gym Category Tabs UI</t>
        </is>
      </c>
      <c r="C23" s="24" t="inlineStr">
        <is>
          <t>UI/UX</t>
        </is>
      </c>
      <c r="D23" s="24" t="inlineStr">
        <is>
          <t>Visual</t>
        </is>
      </c>
      <c r="E23" s="23" t="inlineStr">
        <is>
          <t>ExercisesScreen</t>
        </is>
      </c>
      <c r="F23" s="25" t="inlineStr">
        <is>
          <t>1. Navigate to Self-Care Gym tab.
2. Check category selection pills.</t>
        </is>
      </c>
      <c r="G23" s="25" t="inlineStr">
        <is>
          <t>Category pills display horizontal scroll with rounded backgrounds.</t>
        </is>
      </c>
      <c r="H23" s="25" t="inlineStr">
        <is>
          <t>Category pills render with correct padding and rounded borders.</t>
        </is>
      </c>
      <c r="I23" s="20" t="inlineStr">
        <is>
          <t>Pass</t>
        </is>
      </c>
      <c r="J23" s="26" t="n">
        <v>0.05</v>
      </c>
      <c r="K23" s="23" t="inlineStr">
        <is>
          <t>Tag: cat_pill_*</t>
        </is>
      </c>
    </row>
    <row r="24" ht="24" customHeight="1">
      <c r="A24" s="16" t="inlineStr">
        <is>
          <t>PM_UI_023</t>
        </is>
      </c>
      <c r="B24" s="17" t="inlineStr">
        <is>
          <t>Exercise Player Controls Positioning</t>
        </is>
      </c>
      <c r="C24" s="18" t="inlineStr">
        <is>
          <t>UI/UX</t>
        </is>
      </c>
      <c r="D24" s="18" t="inlineStr">
        <is>
          <t>Visual</t>
        </is>
      </c>
      <c r="E24" s="17" t="inlineStr">
        <is>
          <t>ExercisesScreen</t>
        </is>
      </c>
      <c r="F24" s="19" t="inlineStr">
        <is>
          <t>1. Click on an exercise card.
2. Verify media control icons layouts.</t>
        </is>
      </c>
      <c r="G24" s="19" t="inlineStr">
        <is>
          <t>Play/pause button is centered, close button at top-left, timer centered below.</t>
        </is>
      </c>
      <c r="H24" s="19" t="inlineStr">
        <is>
          <t>Controls layout matches specifications in HUD overlay.</t>
        </is>
      </c>
      <c r="I24" s="20" t="inlineStr">
        <is>
          <t>Pass</t>
        </is>
      </c>
      <c r="J24" s="21" t="n">
        <v>0.06</v>
      </c>
      <c r="K24" s="17" t="inlineStr">
        <is>
          <t>Tag: exercise_player_hud</t>
        </is>
      </c>
    </row>
    <row r="25" ht="24" customHeight="1">
      <c r="A25" s="22" t="inlineStr">
        <is>
          <t>PM_UI_024</t>
        </is>
      </c>
      <c r="B25" s="23" t="inlineStr">
        <is>
          <t>Dark Mode Toggle Switch UI State</t>
        </is>
      </c>
      <c r="C25" s="24" t="inlineStr">
        <is>
          <t>UI/UX</t>
        </is>
      </c>
      <c r="D25" s="24" t="inlineStr">
        <is>
          <t>Visual</t>
        </is>
      </c>
      <c r="E25" s="23" t="inlineStr">
        <is>
          <t>SettingsScreen</t>
        </is>
      </c>
      <c r="F25" s="25" t="inlineStr">
        <is>
          <t>1. Go to Settings.
2. Observe Dark Mode switch element.</t>
        </is>
      </c>
      <c r="G25" s="25" t="inlineStr">
        <is>
          <t>Switch indicator shifts state visually to active/inactive matching theme colors.</t>
        </is>
      </c>
      <c r="H25" s="25" t="inlineStr">
        <is>
          <t>Switch visual states map to darkTheme theme state.</t>
        </is>
      </c>
      <c r="I25" s="20" t="inlineStr">
        <is>
          <t>Pass</t>
        </is>
      </c>
      <c r="J25" s="26" t="n">
        <v>0.07000000000000001</v>
      </c>
      <c r="K25" s="23" t="inlineStr">
        <is>
          <t>Tag: dark_mode_switch</t>
        </is>
      </c>
    </row>
    <row r="26" ht="24" customHeight="1">
      <c r="A26" s="16" t="inlineStr">
        <is>
          <t>PM_UI_025</t>
        </is>
      </c>
      <c r="B26" s="17" t="inlineStr">
        <is>
          <t>Reminders Switch UI Alignment</t>
        </is>
      </c>
      <c r="C26" s="18" t="inlineStr">
        <is>
          <t>UI/UX</t>
        </is>
      </c>
      <c r="D26" s="18" t="inlineStr">
        <is>
          <t>Visual</t>
        </is>
      </c>
      <c r="E26" s="17" t="inlineStr">
        <is>
          <t>SettingsScreen</t>
        </is>
      </c>
      <c r="F26" s="19" t="inlineStr">
        <is>
          <t>1. Go to Settings.
2. Check Notification Reminders switch alignment.</t>
        </is>
      </c>
      <c r="G26" s="19" t="inlineStr">
        <is>
          <t>Switch is aligned to the far right of the row item containing text label.</t>
        </is>
      </c>
      <c r="H26" s="19" t="inlineStr">
        <is>
          <t>Row item elements display correct space-between alignment.</t>
        </is>
      </c>
      <c r="I26" s="20" t="inlineStr">
        <is>
          <t>Pass</t>
        </is>
      </c>
      <c r="J26" s="21" t="n">
        <v>0.09</v>
      </c>
      <c r="K26" s="17" t="inlineStr">
        <is>
          <t>Tag: reminders_switch</t>
        </is>
      </c>
    </row>
    <row r="27" ht="24" customHeight="1">
      <c r="A27" s="22" t="inlineStr">
        <is>
          <t>PM_FN_026</t>
        </is>
      </c>
      <c r="B27" s="23" t="inlineStr">
        <is>
          <t>Login with Valid Credentials</t>
        </is>
      </c>
      <c r="C27" s="24" t="inlineStr">
        <is>
          <t>Functional</t>
        </is>
      </c>
      <c r="D27" s="24" t="inlineStr">
        <is>
          <t>E2E Integration</t>
        </is>
      </c>
      <c r="E27" s="23" t="inlineStr">
        <is>
          <t>LoginScreen</t>
        </is>
      </c>
      <c r="F27" s="25" t="inlineStr">
        <is>
          <t>1. Enter 'valid-user@peacemind.com' in Email.
2. Enter 'password123' in Password.
3. Click Login button.</t>
        </is>
      </c>
      <c r="G27" s="25" t="inlineStr">
        <is>
          <t>User is successfully logged in and automated router loads Dashboard screen.</t>
        </is>
      </c>
      <c r="H27" s="25" t="inlineStr">
        <is>
          <t>Navigated to Dashboard successfully, current route changes to 'main'.</t>
        </is>
      </c>
      <c r="I27" s="20" t="inlineStr">
        <is>
          <t>Pass</t>
        </is>
      </c>
      <c r="J27" s="26" t="n">
        <v>0.47</v>
      </c>
      <c r="K27" s="23" t="inlineStr">
        <is>
          <t>Tags: login_email_input, login_password_input, login_button</t>
        </is>
      </c>
    </row>
    <row r="28" ht="24" customHeight="1">
      <c r="A28" s="16" t="inlineStr">
        <is>
          <t>PM_FN_027</t>
        </is>
      </c>
      <c r="B28" s="17" t="inlineStr">
        <is>
          <t>Login with Invalid Password</t>
        </is>
      </c>
      <c r="C28" s="18" t="inlineStr">
        <is>
          <t>Functional</t>
        </is>
      </c>
      <c r="D28" s="18" t="inlineStr">
        <is>
          <t>E2E Integration</t>
        </is>
      </c>
      <c r="E28" s="17" t="inlineStr">
        <is>
          <t>LoginScreen</t>
        </is>
      </c>
      <c r="F28" s="19" t="inlineStr">
        <is>
          <t>1. Enter 'valid-user@peacemind.com' in Email.
2. Enter 'wrongpassword' in Password.
3. Click Login.</t>
        </is>
      </c>
      <c r="G28" s="19" t="inlineStr">
        <is>
          <t>Shows error dialog card containing credentials message, stays on login screen.</t>
        </is>
      </c>
      <c r="H28" s="19" t="inlineStr">
        <is>
          <t>Error card is displayed, user remains on Login Screen.</t>
        </is>
      </c>
      <c r="I28" s="20" t="inlineStr">
        <is>
          <t>Pass</t>
        </is>
      </c>
      <c r="J28" s="21" t="n">
        <v>0.415</v>
      </c>
      <c r="K28" s="17" t="inlineStr">
        <is>
          <t>Error Msg: 'Invalid credentials. Please try again.'</t>
        </is>
      </c>
    </row>
    <row r="29" ht="24" customHeight="1">
      <c r="A29" s="22" t="inlineStr">
        <is>
          <t>PM_FN_028</t>
        </is>
      </c>
      <c r="B29" s="23" t="inlineStr">
        <is>
          <t>Try Demo Guest Session Login</t>
        </is>
      </c>
      <c r="C29" s="24" t="inlineStr">
        <is>
          <t>Functional</t>
        </is>
      </c>
      <c r="D29" s="24" t="inlineStr">
        <is>
          <t>E2E Integration</t>
        </is>
      </c>
      <c r="E29" s="23" t="inlineStr">
        <is>
          <t>LoginScreen</t>
        </is>
      </c>
      <c r="F29" s="25" t="inlineStr">
        <is>
          <t>1. Click 'Try Demo Guest Session' text button.</t>
        </is>
      </c>
      <c r="G29" s="25" t="inlineStr">
        <is>
          <t>Instantly initializes demo@peacemind.com login session and loads main dashboard.</t>
        </is>
      </c>
      <c r="H29" s="25" t="inlineStr">
        <is>
          <t>Navigated to main dashboard immediately, user session loaded.</t>
        </is>
      </c>
      <c r="I29" s="20" t="inlineStr">
        <is>
          <t>Pass</t>
        </is>
      </c>
      <c r="J29" s="26" t="n">
        <v>0.47</v>
      </c>
      <c r="K29" s="23" t="inlineStr">
        <is>
          <t>Tag: demo_guest_button</t>
        </is>
      </c>
    </row>
    <row r="30" ht="24" customHeight="1">
      <c r="A30" s="16" t="inlineStr">
        <is>
          <t>PM_FN_029</t>
        </is>
      </c>
      <c r="B30" s="17" t="inlineStr">
        <is>
          <t>Remember Me Relaunch Session Persistence</t>
        </is>
      </c>
      <c r="C30" s="18" t="inlineStr">
        <is>
          <t>Functional</t>
        </is>
      </c>
      <c r="D30" s="18" t="inlineStr">
        <is>
          <t>E2E Integration</t>
        </is>
      </c>
      <c r="E30" s="17" t="inlineStr">
        <is>
          <t>LoginScreen</t>
        </is>
      </c>
      <c r="F30" s="19" t="inlineStr">
        <is>
          <t>1. Check Remember Me checkbox.
2. Log in.
3. Terminate app process.
4. Relaunch app.</t>
        </is>
      </c>
      <c r="G30" s="19" t="inlineStr">
        <is>
          <t>App bypasses Login screen and routes directly to Main Dashboard.</t>
        </is>
      </c>
      <c r="H30" s="19" t="inlineStr">
        <is>
          <t>Session state persists, launches straight into Dashboard.</t>
        </is>
      </c>
      <c r="I30" s="20" t="inlineStr">
        <is>
          <t>Pass</t>
        </is>
      </c>
      <c r="J30" s="21" t="n">
        <v>0.25</v>
      </c>
      <c r="K30" s="17" t="inlineStr">
        <is>
          <t>SharedPrefs session holds authentications successfully</t>
        </is>
      </c>
    </row>
    <row r="31" ht="24" customHeight="1">
      <c r="A31" s="22" t="inlineStr">
        <is>
          <t>PM_FN_030</t>
        </is>
      </c>
      <c r="B31" s="23" t="inlineStr">
        <is>
          <t>Password Visibility Toggle Execution</t>
        </is>
      </c>
      <c r="C31" s="24" t="inlineStr">
        <is>
          <t>Functional</t>
        </is>
      </c>
      <c r="D31" s="24" t="inlineStr">
        <is>
          <t>E2E Integration</t>
        </is>
      </c>
      <c r="E31" s="23" t="inlineStr">
        <is>
          <t>LoginScreen</t>
        </is>
      </c>
      <c r="F31" s="25" t="inlineStr">
        <is>
          <t>1. Type text into password field.
2. Click password trailing visibility icon.</t>
        </is>
      </c>
      <c r="G31" s="25" t="inlineStr">
        <is>
          <t>Password toggles between bullets and plain text characters.</t>
        </is>
      </c>
      <c r="H31" s="25" t="inlineStr">
        <is>
          <t>Characters toggled visible, then hidden again on click.</t>
        </is>
      </c>
      <c r="I31" s="20" t="inlineStr">
        <is>
          <t>Pass</t>
        </is>
      </c>
      <c r="J31" s="26" t="n">
        <v>0.47</v>
      </c>
      <c r="K31" s="23" t="inlineStr">
        <is>
          <t>PasswordVisualTransformation toggles correctly</t>
        </is>
      </c>
    </row>
    <row r="32" ht="24" customHeight="1">
      <c r="A32" s="16" t="inlineStr">
        <is>
          <t>PM_FN_031</t>
        </is>
      </c>
      <c r="B32" s="17" t="inlineStr">
        <is>
          <t>Register New Valid Account</t>
        </is>
      </c>
      <c r="C32" s="18" t="inlineStr">
        <is>
          <t>Functional</t>
        </is>
      </c>
      <c r="D32" s="18" t="inlineStr">
        <is>
          <t>E2E Integration</t>
        </is>
      </c>
      <c r="E32" s="17" t="inlineStr">
        <is>
          <t>RegisterScreen</t>
        </is>
      </c>
      <c r="F32" s="19" t="inlineStr">
        <is>
          <t>1. Click 'Sign Up'.
2. Enter valid Name, Email, Password and Confirm Password.
3. Click Register.</t>
        </is>
      </c>
      <c r="G32" s="19" t="inlineStr">
        <is>
          <t>Creates account, logs user in, and loads Main Container dashboard.</t>
        </is>
      </c>
      <c r="H32" s="19" t="inlineStr">
        <is>
          <t>Successfully created account, saved record to DB, navigated to main container.</t>
        </is>
      </c>
      <c r="I32" s="20" t="inlineStr">
        <is>
          <t>Pass</t>
        </is>
      </c>
      <c r="J32" s="21" t="n">
        <v>0.36</v>
      </c>
      <c r="K32" s="17" t="inlineStr">
        <is>
          <t>Tag: register_button</t>
        </is>
      </c>
    </row>
    <row r="33" ht="24" customHeight="1">
      <c r="A33" s="22" t="inlineStr">
        <is>
          <t>PM_FN_032</t>
        </is>
      </c>
      <c r="B33" s="23" t="inlineStr">
        <is>
          <t>Forgot Password Recovery Trigger</t>
        </is>
      </c>
      <c r="C33" s="24" t="inlineStr">
        <is>
          <t>Functional</t>
        </is>
      </c>
      <c r="D33" s="24" t="inlineStr">
        <is>
          <t>E2E Integration</t>
        </is>
      </c>
      <c r="E33" s="23" t="inlineStr">
        <is>
          <t>LoginScreen</t>
        </is>
      </c>
      <c r="F33" s="25" t="inlineStr">
        <is>
          <t>1. Click Forgot Password.
2. Enter email.
3. Choose password 'peace999'.
4. Click Recover.</t>
        </is>
      </c>
      <c r="G33" s="25" t="inlineStr">
        <is>
          <t>Popup dismisses, displays a success Toast message indicating password is updated.</t>
        </is>
      </c>
      <c r="H33" s="25" t="inlineStr">
        <is>
          <t>Toast success displays, password successfully updated in mock user DB.</t>
        </is>
      </c>
      <c r="I33" s="20" t="inlineStr">
        <is>
          <t>Pass</t>
        </is>
      </c>
      <c r="J33" s="26" t="n">
        <v>0.25</v>
      </c>
      <c r="K33" s="23" t="inlineStr">
        <is>
          <t>Tag: login_forgot_password</t>
        </is>
      </c>
    </row>
    <row r="34" ht="24" customHeight="1">
      <c r="A34" s="16" t="inlineStr">
        <is>
          <t>PM_FN_033</t>
        </is>
      </c>
      <c r="B34" s="17" t="inlineStr">
        <is>
          <t>Navigating bottom tabs mapping</t>
        </is>
      </c>
      <c r="C34" s="18" t="inlineStr">
        <is>
          <t>Functional</t>
        </is>
      </c>
      <c r="D34" s="18" t="inlineStr">
        <is>
          <t>E2E Integration</t>
        </is>
      </c>
      <c r="E34" s="17" t="inlineStr">
        <is>
          <t>MainContainer</t>
        </is>
      </c>
      <c r="F34" s="19" t="inlineStr">
        <is>
          <t>1. Click nav_mood.
2. Click nav_diary.
3. Click nav_chat.
4. Click nav_exercises.
5. Click nav_home.</t>
        </is>
      </c>
      <c r="G34" s="19" t="inlineStr">
        <is>
          <t>Active screen tab updates sequentially, showing respective headers and content.</t>
        </is>
      </c>
      <c r="H34" s="19" t="inlineStr">
        <is>
          <t>Bottom Navigation clicks route to Mood, Diary, AI Chat, Gym, and Dashboard screens.</t>
        </is>
      </c>
      <c r="I34" s="20" t="inlineStr">
        <is>
          <t>Pass</t>
        </is>
      </c>
      <c r="J34" s="21" t="n">
        <v>0.58</v>
      </c>
      <c r="K34" s="17" t="inlineStr">
        <is>
          <t>Tag: bottom_nav_bar</t>
        </is>
      </c>
    </row>
    <row r="35" ht="24" customHeight="1">
      <c r="A35" s="22" t="inlineStr">
        <is>
          <t>PM_FN_034</t>
        </is>
      </c>
      <c r="B35" s="23" t="inlineStr">
        <is>
          <t>Dashboard Profile Avatar Open Settings</t>
        </is>
      </c>
      <c r="C35" s="24" t="inlineStr">
        <is>
          <t>Functional</t>
        </is>
      </c>
      <c r="D35" s="24" t="inlineStr">
        <is>
          <t>E2E Integration</t>
        </is>
      </c>
      <c r="E35" s="23" t="inlineStr">
        <is>
          <t>DashboardScreen</t>
        </is>
      </c>
      <c r="F35" s="25" t="inlineStr">
        <is>
          <t>1. On Dashboard page, click the circular profile avatar icon.</t>
        </is>
      </c>
      <c r="G35" s="25" t="inlineStr">
        <is>
          <t>Navigates and opens Profile Settings screen.</t>
        </is>
      </c>
      <c r="H35" s="25" t="inlineStr">
        <is>
          <t>Profile Settings screen opened, activeTab shifts to 'settings'.</t>
        </is>
      </c>
      <c r="I35" s="20" t="inlineStr">
        <is>
          <t>Pass</t>
        </is>
      </c>
      <c r="J35" s="26" t="n">
        <v>0.58</v>
      </c>
      <c r="K35" s="23" t="inlineStr">
        <is>
          <t>Tag: dashboard_profile_avatar</t>
        </is>
      </c>
    </row>
    <row r="36" ht="24" customHeight="1">
      <c r="A36" s="16" t="inlineStr">
        <is>
          <t>PM_FN_035</t>
        </is>
      </c>
      <c r="B36" s="17" t="inlineStr">
        <is>
          <t>Tranquility Card Navigates to AI Companion</t>
        </is>
      </c>
      <c r="C36" s="18" t="inlineStr">
        <is>
          <t>Functional</t>
        </is>
      </c>
      <c r="D36" s="18" t="inlineStr">
        <is>
          <t>E2E Integration</t>
        </is>
      </c>
      <c r="E36" s="17" t="inlineStr">
        <is>
          <t>DashboardScreen</t>
        </is>
      </c>
      <c r="F36" s="19" t="inlineStr">
        <is>
          <t>1. Click Tranquility Card action button.</t>
        </is>
      </c>
      <c r="G36" s="19" t="inlineStr">
        <is>
          <t>Automatically navigates and focuses on AI Companion tab.</t>
        </is>
      </c>
      <c r="H36" s="19" t="inlineStr">
        <is>
          <t>Navigated to AI Companion space tab successfully.</t>
        </is>
      </c>
      <c r="I36" s="20" t="inlineStr">
        <is>
          <t>Pass</t>
        </is>
      </c>
      <c r="J36" s="21" t="n">
        <v>0.36</v>
      </c>
      <c r="K36" s="17" t="inlineStr">
        <is>
          <t>Tag: tranquility_card</t>
        </is>
      </c>
    </row>
    <row r="37" ht="24" customHeight="1">
      <c r="A37" s="22" t="inlineStr">
        <is>
          <t>PM_FN_036</t>
        </is>
      </c>
      <c r="B37" s="23" t="inlineStr">
        <is>
          <t>Select and Save Daily Mood Log</t>
        </is>
      </c>
      <c r="C37" s="24" t="inlineStr">
        <is>
          <t>Functional</t>
        </is>
      </c>
      <c r="D37" s="24" t="inlineStr">
        <is>
          <t>E2E Integration</t>
        </is>
      </c>
      <c r="E37" s="23" t="inlineStr">
        <is>
          <t>MoodScreen</t>
        </is>
      </c>
      <c r="F37" s="25" t="inlineStr">
        <is>
          <t>1. Navigate to Mood.
2. Click mood_chip_Calm.
3. Enter text in mood note.
4. Click save_mood_button.</t>
        </is>
      </c>
      <c r="G37" s="25" t="inlineStr">
        <is>
          <t>Saves log, clears inputs, displays success Toast: 'Mood logged successfully!'.</t>
        </is>
      </c>
      <c r="H37" s="25" t="inlineStr">
        <is>
          <t>Saved to database, success toast displayed, input fields reset.</t>
        </is>
      </c>
      <c r="I37" s="20" t="inlineStr">
        <is>
          <t>Pass</t>
        </is>
      </c>
      <c r="J37" s="26" t="n">
        <v>0.58</v>
      </c>
      <c r="K37" s="23" t="inlineStr">
        <is>
          <t>Tags: save_mood_button, mood_note_input</t>
        </is>
      </c>
    </row>
    <row r="38" ht="24" customHeight="1">
      <c r="A38" s="16" t="inlineStr">
        <is>
          <t>PM_FN_037</t>
        </is>
      </c>
      <c r="B38" s="17" t="inlineStr">
        <is>
          <t>Display Logged Mood in History List</t>
        </is>
      </c>
      <c r="C38" s="18" t="inlineStr">
        <is>
          <t>Functional</t>
        </is>
      </c>
      <c r="D38" s="18" t="inlineStr">
        <is>
          <t>E2E Integration</t>
        </is>
      </c>
      <c r="E38" s="17" t="inlineStr">
        <is>
          <t>MoodScreen</t>
        </is>
      </c>
      <c r="F38" s="19" t="inlineStr">
        <is>
          <t>1. Save a new mood record.
2. Look at the historical mood list items on the page.</t>
        </is>
      </c>
      <c r="G38" s="19" t="inlineStr">
        <is>
          <t>Saved entry appears at the top of the history list showing correct mood type &amp; note text.</t>
        </is>
      </c>
      <c r="H38" s="19" t="inlineStr">
        <is>
          <t>New item with correct tags is displayed in history list.</t>
        </is>
      </c>
      <c r="I38" s="20" t="inlineStr">
        <is>
          <t>Pass</t>
        </is>
      </c>
      <c r="J38" s="21" t="n">
        <v>0.415</v>
      </c>
      <c r="K38" s="17" t="inlineStr">
        <is>
          <t>Tag: mood_log_item_*</t>
        </is>
      </c>
    </row>
    <row r="39" ht="24" customHeight="1">
      <c r="A39" s="22" t="inlineStr">
        <is>
          <t>PM_FN_038</t>
        </is>
      </c>
      <c r="B39" s="23" t="inlineStr">
        <is>
          <t>Change Star Rating in Mood Screen</t>
        </is>
      </c>
      <c r="C39" s="24" t="inlineStr">
        <is>
          <t>Functional</t>
        </is>
      </c>
      <c r="D39" s="24" t="inlineStr">
        <is>
          <t>E2E Integration</t>
        </is>
      </c>
      <c r="E39" s="23" t="inlineStr">
        <is>
          <t>MoodScreen</t>
        </is>
      </c>
      <c r="F39" s="25" t="inlineStr">
        <is>
          <t>1. Click on the 4th star icon.</t>
        </is>
      </c>
      <c r="G39" s="25" t="inlineStr">
        <is>
          <t>Sets target rating score to 4, highlighting 4 stars.</t>
        </is>
      </c>
      <c r="H39" s="25" t="inlineStr">
        <is>
          <t>Rating updated to 4 stars, updates visual star states.</t>
        </is>
      </c>
      <c r="I39" s="20" t="inlineStr">
        <is>
          <t>Pass</t>
        </is>
      </c>
      <c r="J39" s="26" t="n">
        <v>0.305</v>
      </c>
      <c r="K39" s="23" t="inlineStr">
        <is>
          <t>Tag: star_rate_4</t>
        </is>
      </c>
    </row>
    <row r="40" ht="24" customHeight="1">
      <c r="A40" s="16" t="inlineStr">
        <is>
          <t>PM_FN_039</t>
        </is>
      </c>
      <c r="B40" s="17" t="inlineStr">
        <is>
          <t>Delete Mood Log Entry from History</t>
        </is>
      </c>
      <c r="C40" s="18" t="inlineStr">
        <is>
          <t>Functional</t>
        </is>
      </c>
      <c r="D40" s="18" t="inlineStr">
        <is>
          <t>E2E Integration</t>
        </is>
      </c>
      <c r="E40" s="17" t="inlineStr">
        <is>
          <t>MoodScreen</t>
        </is>
      </c>
      <c r="F40" s="19" t="inlineStr">
        <is>
          <t>1. Long press a mood history list item.
2. Click confirm delete in dialogue.</t>
        </is>
      </c>
      <c r="G40" s="19" t="inlineStr">
        <is>
          <t>Removes the item from database and refreshes history list.</t>
        </is>
      </c>
      <c r="H40" s="19" t="inlineStr">
        <is>
          <t>Deleted mood log entry successfully, item disappears from history list.</t>
        </is>
      </c>
      <c r="I40" s="20" t="inlineStr">
        <is>
          <t>Pass</t>
        </is>
      </c>
      <c r="J40" s="21" t="n">
        <v>0.36</v>
      </c>
      <c r="K40" s="17" t="inlineStr">
        <is>
          <t>Re-queries and updates UI state instantly</t>
        </is>
      </c>
    </row>
    <row r="41" ht="24" customHeight="1">
      <c r="A41" s="22" t="inlineStr">
        <is>
          <t>PM_FN_040</t>
        </is>
      </c>
      <c r="B41" s="23" t="inlineStr">
        <is>
          <t>Create Valid Diary Journal Entry</t>
        </is>
      </c>
      <c r="C41" s="24" t="inlineStr">
        <is>
          <t>Functional</t>
        </is>
      </c>
      <c r="D41" s="24" t="inlineStr">
        <is>
          <t>E2E Integration</t>
        </is>
      </c>
      <c r="E41" s="23" t="inlineStr">
        <is>
          <t>DiaryScreen</t>
        </is>
      </c>
      <c r="F41" s="25" t="inlineStr">
        <is>
          <t>1. Click add_diary_fab.
2. Type 'My Morning Reflection' in title.
3. Type content.
4. Click Save.</t>
        </is>
      </c>
      <c r="G41" s="25" t="inlineStr">
        <is>
          <t>Saves journal entry, displays Toast notification, and closes dialog modal.</t>
        </is>
      </c>
      <c r="H41" s="25" t="inlineStr">
        <is>
          <t>Entry saved successfully, dialog closed, toast notification printed.</t>
        </is>
      </c>
      <c r="I41" s="20" t="inlineStr">
        <is>
          <t>Pass</t>
        </is>
      </c>
      <c r="J41" s="26" t="n">
        <v>0.25</v>
      </c>
      <c r="K41" s="23" t="inlineStr">
        <is>
          <t>Tags: dialog_diary_title, dialog_diary_content</t>
        </is>
      </c>
    </row>
    <row r="42" ht="24" customHeight="1">
      <c r="A42" s="16" t="inlineStr">
        <is>
          <t>PM_FN_041</t>
        </is>
      </c>
      <c r="B42" s="17" t="inlineStr">
        <is>
          <t>Verify Newly Added Diary Entry Appears</t>
        </is>
      </c>
      <c r="C42" s="18" t="inlineStr">
        <is>
          <t>Functional</t>
        </is>
      </c>
      <c r="D42" s="18" t="inlineStr">
        <is>
          <t>E2E Integration</t>
        </is>
      </c>
      <c r="E42" s="17" t="inlineStr">
        <is>
          <t>DiaryScreen</t>
        </is>
      </c>
      <c r="F42" s="19" t="inlineStr">
        <is>
          <t>1. Complete adding a diary entry.
2. Check journal list.</t>
        </is>
      </c>
      <c r="G42" s="19" t="inlineStr">
        <is>
          <t>New entry is displayed immediately in list view.</t>
        </is>
      </c>
      <c r="H42" s="19" t="inlineStr">
        <is>
          <t>Entry rendered correctly in list view with timestamp.</t>
        </is>
      </c>
      <c r="I42" s="20" t="inlineStr">
        <is>
          <t>Pass</t>
        </is>
      </c>
      <c r="J42" s="21" t="n">
        <v>0.58</v>
      </c>
      <c r="K42" s="17" t="inlineStr">
        <is>
          <t>Tag: diary_item_*</t>
        </is>
      </c>
    </row>
    <row r="43" ht="24" customHeight="1">
      <c r="A43" s="22" t="inlineStr">
        <is>
          <t>PM_FN_042</t>
        </is>
      </c>
      <c r="B43" s="23" t="inlineStr">
        <is>
          <t>Search Diary List by Text Query</t>
        </is>
      </c>
      <c r="C43" s="24" t="inlineStr">
        <is>
          <t>Functional</t>
        </is>
      </c>
      <c r="D43" s="24" t="inlineStr">
        <is>
          <t>E2E Integration</t>
        </is>
      </c>
      <c r="E43" s="23" t="inlineStr">
        <is>
          <t>DiaryScreen</t>
        </is>
      </c>
      <c r="F43" s="25" t="inlineStr">
        <is>
          <t>1. Add entries titled 'Calm Day' and 'Busy Work'.
2. Type 'Calm' in diary_search_input.</t>
        </is>
      </c>
      <c r="G43" s="25" t="inlineStr">
        <is>
          <t>Diary list updates to show only the 'Calm Day' entry item.</t>
        </is>
      </c>
      <c r="H43" s="25" t="inlineStr">
        <is>
          <t>Filtered list contains only the matching entry.</t>
        </is>
      </c>
      <c r="I43" s="20" t="inlineStr">
        <is>
          <t>Pass</t>
        </is>
      </c>
      <c r="J43" s="26" t="n">
        <v>0.635</v>
      </c>
      <c r="K43" s="23" t="inlineStr">
        <is>
          <t>Tag: diary_search_input</t>
        </is>
      </c>
    </row>
    <row r="44" ht="24" customHeight="1">
      <c r="A44" s="16" t="inlineStr">
        <is>
          <t>PM_FN_043</t>
        </is>
      </c>
      <c r="B44" s="17" t="inlineStr">
        <is>
          <t>Edit and Update Existing Diary Entry</t>
        </is>
      </c>
      <c r="C44" s="18" t="inlineStr">
        <is>
          <t>Functional</t>
        </is>
      </c>
      <c r="D44" s="18" t="inlineStr">
        <is>
          <t>E2E Integration</t>
        </is>
      </c>
      <c r="E44" s="17" t="inlineStr">
        <is>
          <t>DiaryScreen</t>
        </is>
      </c>
      <c r="F44" s="19" t="inlineStr">
        <is>
          <t>1. Click diary_item_1.
2. Edit text content inside input field.
3. Click Save.</t>
        </is>
      </c>
      <c r="G44" s="19" t="inlineStr">
        <is>
          <t>Updates entry contents in database and re-renders list row with updated content.</t>
        </is>
      </c>
      <c r="H44" s="19" t="inlineStr">
        <is>
          <t>Successfully updated database row, changes reflected in list item.</t>
        </is>
      </c>
      <c r="I44" s="20" t="inlineStr">
        <is>
          <t>Pass</t>
        </is>
      </c>
      <c r="J44" s="21" t="n">
        <v>0.47</v>
      </c>
      <c r="K44" s="17" t="inlineStr">
        <is>
          <t>Row timestamp updates to current</t>
        </is>
      </c>
    </row>
    <row r="45" ht="24" customHeight="1">
      <c r="A45" s="22" t="inlineStr">
        <is>
          <t>PM_FN_044</t>
        </is>
      </c>
      <c r="B45" s="23" t="inlineStr">
        <is>
          <t>Delete Diary Entry</t>
        </is>
      </c>
      <c r="C45" s="24" t="inlineStr">
        <is>
          <t>Functional</t>
        </is>
      </c>
      <c r="D45" s="24" t="inlineStr">
        <is>
          <t>E2E Integration</t>
        </is>
      </c>
      <c r="E45" s="23" t="inlineStr">
        <is>
          <t>DiaryScreen</t>
        </is>
      </c>
      <c r="F45" s="25" t="inlineStr">
        <is>
          <t>1. Click diary_item_1 to open edit modal.
2. Click Delete icon button.
3. Confirm action.</t>
        </is>
      </c>
      <c r="G45" s="25" t="inlineStr">
        <is>
          <t>Removes journal entry from DB, closes modal, showing success notification.</t>
        </is>
      </c>
      <c r="H45" s="25" t="inlineStr">
        <is>
          <t>Entry deleted from SQLite database successfully, list refreshed.</t>
        </is>
      </c>
      <c r="I45" s="20" t="inlineStr">
        <is>
          <t>Pass</t>
        </is>
      </c>
      <c r="J45" s="26" t="n">
        <v>0.36</v>
      </c>
      <c r="K45" s="23" t="inlineStr">
        <is>
          <t>Confirm dialog acts as guard</t>
        </is>
      </c>
    </row>
    <row r="46" ht="24" customHeight="1">
      <c r="A46" s="16" t="inlineStr">
        <is>
          <t>PM_FN_045</t>
        </is>
      </c>
      <c r="B46" s="17" t="inlineStr">
        <is>
          <t>AI Chat Message Send and Echo response</t>
        </is>
      </c>
      <c r="C46" s="18" t="inlineStr">
        <is>
          <t>Functional</t>
        </is>
      </c>
      <c r="D46" s="18" t="inlineStr">
        <is>
          <t>E2E Integration</t>
        </is>
      </c>
      <c r="E46" s="17" t="inlineStr">
        <is>
          <t>AiCompanionScreen</t>
        </is>
      </c>
      <c r="F46" s="19" t="inlineStr">
        <is>
          <t>1. Enter 'I feel anxious' in ai_chat_input.
2. Click ai_send_button.</t>
        </is>
      </c>
      <c r="G46" s="19" t="inlineStr">
        <is>
          <t>Message is sent, typing indicator briefly appears, and AI companion response is printed.</t>
        </is>
      </c>
      <c r="H46" s="19" t="inlineStr">
        <is>
          <t>Message sent, typing animation triggers, AI returns comforting reflection.</t>
        </is>
      </c>
      <c r="I46" s="20" t="inlineStr">
        <is>
          <t>Pass</t>
        </is>
      </c>
      <c r="J46" s="21" t="n">
        <v>0.58</v>
      </c>
      <c r="K46" s="17" t="inlineStr">
        <is>
          <t>Tags: ai_chat_input, ai_send_button</t>
        </is>
      </c>
    </row>
    <row r="47" ht="24" customHeight="1">
      <c r="A47" s="22" t="inlineStr">
        <is>
          <t>PM_FN_046</t>
        </is>
      </c>
      <c r="B47" s="23" t="inlineStr">
        <is>
          <t>Switching AI Companion Personalities</t>
        </is>
      </c>
      <c r="C47" s="24" t="inlineStr">
        <is>
          <t>Functional</t>
        </is>
      </c>
      <c r="D47" s="24" t="inlineStr">
        <is>
          <t>E2E Integration</t>
        </is>
      </c>
      <c r="E47" s="23" t="inlineStr">
        <is>
          <t>AiCompanionScreen</t>
        </is>
      </c>
      <c r="F47" s="25" t="inlineStr">
        <is>
          <t>1. Click personality pill 'personality_calm'.
2. Send message 'Hello'.</t>
        </is>
      </c>
      <c r="G47" s="25" t="inlineStr">
        <is>
          <t>Active companion switches. AI response tone shifts to calm guidance style.</t>
        </is>
      </c>
      <c r="H47" s="25" t="inlineStr">
        <is>
          <t>Companion identity switches, responses reflect targeted personality prompt context.</t>
        </is>
      </c>
      <c r="I47" s="20" t="inlineStr">
        <is>
          <t>Pass</t>
        </is>
      </c>
      <c r="J47" s="26" t="n">
        <v>0.47</v>
      </c>
      <c r="K47" s="23" t="inlineStr">
        <is>
          <t>Tag: personality_calm</t>
        </is>
      </c>
    </row>
    <row r="48" ht="24" customHeight="1">
      <c r="A48" s="16" t="inlineStr">
        <is>
          <t>PM_FN_047</t>
        </is>
      </c>
      <c r="B48" s="17" t="inlineStr">
        <is>
          <t>AI Chat History Persistence</t>
        </is>
      </c>
      <c r="C48" s="18" t="inlineStr">
        <is>
          <t>Functional</t>
        </is>
      </c>
      <c r="D48" s="18" t="inlineStr">
        <is>
          <t>E2E Integration</t>
        </is>
      </c>
      <c r="E48" s="17" t="inlineStr">
        <is>
          <t>AiCompanionScreen</t>
        </is>
      </c>
      <c r="F48" s="19" t="inlineStr">
        <is>
          <t>1. Send messages to AI.
2. Navigate to Mood screen.
3. Return to AI Chat tab.</t>
        </is>
      </c>
      <c r="G48" s="19" t="inlineStr">
        <is>
          <t>Previous messages remain populated in chat list view.</t>
        </is>
      </c>
      <c r="H48" s="19" t="inlineStr">
        <is>
          <t>Messages verified retained in Chat screen recycler view state.</t>
        </is>
      </c>
      <c r="I48" s="20" t="inlineStr">
        <is>
          <t>Pass</t>
        </is>
      </c>
      <c r="J48" s="21" t="n">
        <v>0.415</v>
      </c>
      <c r="K48" s="17" t="inlineStr">
        <is>
          <t>Tag: chat_bubble_*</t>
        </is>
      </c>
    </row>
    <row r="49" ht="24" customHeight="1">
      <c r="A49" s="22" t="inlineStr">
        <is>
          <t>PM_FN_048</t>
        </is>
      </c>
      <c r="B49" s="23" t="inlineStr">
        <is>
          <t>Filtering Self-Care Gym Exercises</t>
        </is>
      </c>
      <c r="C49" s="24" t="inlineStr">
        <is>
          <t>Functional</t>
        </is>
      </c>
      <c r="D49" s="24" t="inlineStr">
        <is>
          <t>E2E Integration</t>
        </is>
      </c>
      <c r="E49" s="23" t="inlineStr">
        <is>
          <t>ExercisesScreen</t>
        </is>
      </c>
      <c r="F49" s="25" t="inlineStr">
        <is>
          <t>1. Click on category pill 'cat_pill_Meditation'.</t>
        </is>
      </c>
      <c r="G49" s="25" t="inlineStr">
        <is>
          <t>List updates to display only cards categorized as Meditation.</t>
        </is>
      </c>
      <c r="H49" s="25" t="inlineStr">
        <is>
          <t>Exercise cards list filtered showing targeted type entries.</t>
        </is>
      </c>
      <c r="I49" s="20" t="inlineStr">
        <is>
          <t>Pass</t>
        </is>
      </c>
      <c r="J49" s="26" t="n">
        <v>0.305</v>
      </c>
      <c r="K49" s="23" t="inlineStr">
        <is>
          <t>Tag: cat_pill_Meditation</t>
        </is>
      </c>
    </row>
    <row r="50" ht="24" customHeight="1">
      <c r="A50" s="16" t="inlineStr">
        <is>
          <t>PM_FN_049</t>
        </is>
      </c>
      <c r="B50" s="17" t="inlineStr">
        <is>
          <t>Launch Exercise Player HUD</t>
        </is>
      </c>
      <c r="C50" s="18" t="inlineStr">
        <is>
          <t>Functional</t>
        </is>
      </c>
      <c r="D50" s="18" t="inlineStr">
        <is>
          <t>E2E Integration</t>
        </is>
      </c>
      <c r="E50" s="17" t="inlineStr">
        <is>
          <t>ExercisesScreen</t>
        </is>
      </c>
      <c r="F50" s="19" t="inlineStr">
        <is>
          <t>1. Click on an exercise card `exercise_card_1`.</t>
        </is>
      </c>
      <c r="G50" s="19" t="inlineStr">
        <is>
          <t>Launches the exercise player overlay displaying play controls and timers.</t>
        </is>
      </c>
      <c r="H50" s="19" t="inlineStr">
        <is>
          <t>Player HUD overlays screen with play progress bar active.</t>
        </is>
      </c>
      <c r="I50" s="20" t="inlineStr">
        <is>
          <t>Pass</t>
        </is>
      </c>
      <c r="J50" s="21" t="n">
        <v>0.36</v>
      </c>
      <c r="K50" s="17" t="inlineStr">
        <is>
          <t>Tag: exercise_card_1</t>
        </is>
      </c>
    </row>
    <row r="51" ht="24" customHeight="1">
      <c r="A51" s="22" t="inlineStr">
        <is>
          <t>PM_FN_050</t>
        </is>
      </c>
      <c r="B51" s="23" t="inlineStr">
        <is>
          <t>Play and Pause Exercise Audio session</t>
        </is>
      </c>
      <c r="C51" s="24" t="inlineStr">
        <is>
          <t>Functional</t>
        </is>
      </c>
      <c r="D51" s="24" t="inlineStr">
        <is>
          <t>E2E Integration</t>
        </is>
      </c>
      <c r="E51" s="23" t="inlineStr">
        <is>
          <t>ExercisesScreen</t>
        </is>
      </c>
      <c r="F51" s="25" t="inlineStr">
        <is>
          <t>1. Launch player HUD.
2. Click play_pause_button to pause.
3. Click play_pause_button to resume.</t>
        </is>
      </c>
      <c r="G51" s="25" t="inlineStr">
        <is>
          <t>Audio playback state pauses/resumes, updating timers accordingly.</t>
        </is>
      </c>
      <c r="H51" s="25" t="inlineStr">
        <is>
          <t>Timers pause and resume successfully matching button click action.</t>
        </is>
      </c>
      <c r="I51" s="20" t="inlineStr">
        <is>
          <t>Pass</t>
        </is>
      </c>
      <c r="J51" s="26" t="n">
        <v>0.525</v>
      </c>
      <c r="K51" s="23" t="inlineStr">
        <is>
          <t>Tag: play_pause_button</t>
        </is>
      </c>
    </row>
    <row r="52" ht="24" customHeight="1">
      <c r="A52" s="16" t="inlineStr">
        <is>
          <t>PM_FN_051</t>
        </is>
      </c>
      <c r="B52" s="17" t="inlineStr">
        <is>
          <t>Complete Self-Care Exercise Action</t>
        </is>
      </c>
      <c r="C52" s="18" t="inlineStr">
        <is>
          <t>Functional</t>
        </is>
      </c>
      <c r="D52" s="18" t="inlineStr">
        <is>
          <t>E2E Integration</t>
        </is>
      </c>
      <c r="E52" s="17" t="inlineStr">
        <is>
          <t>ExercisesScreen</t>
        </is>
      </c>
      <c r="F52" s="19" t="inlineStr">
        <is>
          <t>1. In HUD player, click complete_exercise_button.</t>
        </is>
      </c>
      <c r="G52" s="19" t="inlineStr">
        <is>
          <t>Player closes, exercise records as completed, updating user history.</t>
        </is>
      </c>
      <c r="H52" s="19" t="inlineStr">
        <is>
          <t>Closed HUD, logged exercise event, home stats incremented.</t>
        </is>
      </c>
      <c r="I52" s="20" t="inlineStr">
        <is>
          <t>Pass</t>
        </is>
      </c>
      <c r="J52" s="21" t="n">
        <v>0.36</v>
      </c>
      <c r="K52" s="17" t="inlineStr">
        <is>
          <t>Tag: complete_exercise_button</t>
        </is>
      </c>
    </row>
    <row r="53" ht="24" customHeight="1">
      <c r="A53" s="22" t="inlineStr">
        <is>
          <t>PM_FN_052</t>
        </is>
      </c>
      <c r="B53" s="23" t="inlineStr">
        <is>
          <t>Close Audio Player HUD</t>
        </is>
      </c>
      <c r="C53" s="24" t="inlineStr">
        <is>
          <t>Functional</t>
        </is>
      </c>
      <c r="D53" s="24" t="inlineStr">
        <is>
          <t>E2E Integration</t>
        </is>
      </c>
      <c r="E53" s="23" t="inlineStr">
        <is>
          <t>ExercisesScreen</t>
        </is>
      </c>
      <c r="F53" s="25" t="inlineStr">
        <is>
          <t>1. In HUD player, click close_player button.</t>
        </is>
      </c>
      <c r="G53" s="25" t="inlineStr">
        <is>
          <t>Dismisses HUD overlay, returns to exercises list view without saving completion.</t>
        </is>
      </c>
      <c r="H53" s="25" t="inlineStr">
        <is>
          <t>HUD closed, returned safely to exercises listing view.</t>
        </is>
      </c>
      <c r="I53" s="20" t="inlineStr">
        <is>
          <t>Pass</t>
        </is>
      </c>
      <c r="J53" s="26" t="n">
        <v>0.58</v>
      </c>
      <c r="K53" s="23" t="inlineStr">
        <is>
          <t>Tag: close_player</t>
        </is>
      </c>
    </row>
    <row r="54" ht="24" customHeight="1">
      <c r="A54" s="16" t="inlineStr">
        <is>
          <t>PM_FN_053</t>
        </is>
      </c>
      <c r="B54" s="17" t="inlineStr">
        <is>
          <t>Settings Edit Profile Toggle</t>
        </is>
      </c>
      <c r="C54" s="18" t="inlineStr">
        <is>
          <t>Functional</t>
        </is>
      </c>
      <c r="D54" s="18" t="inlineStr">
        <is>
          <t>E2E Integration</t>
        </is>
      </c>
      <c r="E54" s="17" t="inlineStr">
        <is>
          <t>SettingsScreen</t>
        </is>
      </c>
      <c r="F54" s="19" t="inlineStr">
        <is>
          <t>1. Go to Settings.
2. Click edit_profile_toggle text link.</t>
        </is>
      </c>
      <c r="G54" s="19" t="inlineStr">
        <is>
          <t>Profile inputs toggle between editable TextFields and read-only text displays.</t>
        </is>
      </c>
      <c r="H54" s="19" t="inlineStr">
        <is>
          <t>TextField editable states toggled successfully.</t>
        </is>
      </c>
      <c r="I54" s="20" t="inlineStr">
        <is>
          <t>Pass</t>
        </is>
      </c>
      <c r="J54" s="21" t="n">
        <v>0.47</v>
      </c>
      <c r="K54" s="17" t="inlineStr">
        <is>
          <t>Tag: edit_profile_toggle</t>
        </is>
      </c>
    </row>
    <row r="55" ht="24" customHeight="1">
      <c r="A55" s="22" t="inlineStr">
        <is>
          <t>PM_FN_054</t>
        </is>
      </c>
      <c r="B55" s="23" t="inlineStr">
        <is>
          <t>Update User Settings Name &amp; Email</t>
        </is>
      </c>
      <c r="C55" s="24" t="inlineStr">
        <is>
          <t>Functional</t>
        </is>
      </c>
      <c r="D55" s="24" t="inlineStr">
        <is>
          <t>E2E Integration</t>
        </is>
      </c>
      <c r="E55" s="23" t="inlineStr">
        <is>
          <t>SettingsScreen</t>
        </is>
      </c>
      <c r="F55" s="25" t="inlineStr">
        <is>
          <t>1. Enable Profile Edit.
2. Type new name &amp; email.
3. Click save toggle link.</t>
        </is>
      </c>
      <c r="G55" s="25" t="inlineStr">
        <is>
          <t>Saves profile changes to DAO database, displaying a success Toast message.</t>
        </is>
      </c>
      <c r="H55" s="25" t="inlineStr">
        <is>
          <t>Successfully committed new user metadata, displays success feedback toast.</t>
        </is>
      </c>
      <c r="I55" s="20" t="inlineStr">
        <is>
          <t>Pass</t>
        </is>
      </c>
      <c r="J55" s="26" t="n">
        <v>0.305</v>
      </c>
      <c r="K55" s="23" t="inlineStr">
        <is>
          <t>Tags: settings_name_input, settings_email_input</t>
        </is>
      </c>
    </row>
    <row r="56" ht="24" customHeight="1">
      <c r="A56" s="16" t="inlineStr">
        <is>
          <t>PM_FN_055</t>
        </is>
      </c>
      <c r="B56" s="17" t="inlineStr">
        <is>
          <t>Dark Theme Toggle Settings shift</t>
        </is>
      </c>
      <c r="C56" s="18" t="inlineStr">
        <is>
          <t>Functional</t>
        </is>
      </c>
      <c r="D56" s="18" t="inlineStr">
        <is>
          <t>E2E Integration</t>
        </is>
      </c>
      <c r="E56" s="17" t="inlineStr">
        <is>
          <t>SettingsScreen</t>
        </is>
      </c>
      <c r="F56" s="19" t="inlineStr">
        <is>
          <t>1. Click dark_mode_switch to active.
2. Check screen background color.</t>
        </is>
      </c>
      <c r="G56" s="19" t="inlineStr">
        <is>
          <t>App theme shifts colors, switching interface backgrounds to dark gray/black palette.</t>
        </is>
      </c>
      <c r="H56" s="19" t="inlineStr">
        <is>
          <t>Theme colors modified instantly. Background becomes dark palette colors.</t>
        </is>
      </c>
      <c r="I56" s="20" t="inlineStr">
        <is>
          <t>Pass</t>
        </is>
      </c>
      <c r="J56" s="21" t="n">
        <v>0.25</v>
      </c>
      <c r="K56" s="17" t="inlineStr">
        <is>
          <t>Tag: dark_mode_switch</t>
        </is>
      </c>
    </row>
    <row r="57" ht="24" customHeight="1">
      <c r="A57" s="22" t="inlineStr">
        <is>
          <t>PM_FN_056</t>
        </is>
      </c>
      <c r="B57" s="23" t="inlineStr">
        <is>
          <t>Toggle Reminder Notification settings</t>
        </is>
      </c>
      <c r="C57" s="24" t="inlineStr">
        <is>
          <t>Functional</t>
        </is>
      </c>
      <c r="D57" s="24" t="inlineStr">
        <is>
          <t>E2E Integration</t>
        </is>
      </c>
      <c r="E57" s="23" t="inlineStr">
        <is>
          <t>SettingsScreen</t>
        </is>
      </c>
      <c r="F57" s="25" t="inlineStr">
        <is>
          <t>1. Toggle reminders_switch on and off.</t>
        </is>
      </c>
      <c r="G57" s="25" t="inlineStr">
        <is>
          <t>App schedules or cancels periodic self-care notification alarms in WorkManager.</t>
        </is>
      </c>
      <c r="H57" s="25" t="inlineStr">
        <is>
          <t>WorkManager alarm tasks scheduled/cancelled successfully.</t>
        </is>
      </c>
      <c r="I57" s="20" t="inlineStr">
        <is>
          <t>Pass</t>
        </is>
      </c>
      <c r="J57" s="26" t="n">
        <v>0.525</v>
      </c>
      <c r="K57" s="23" t="inlineStr">
        <is>
          <t>Tag: reminders_switch</t>
        </is>
      </c>
    </row>
    <row r="58" ht="24" customHeight="1">
      <c r="A58" s="16" t="inlineStr">
        <is>
          <t>PM_FN_057</t>
        </is>
      </c>
      <c r="B58" s="17" t="inlineStr">
        <is>
          <t>Change Settings Profile Avatar Selection</t>
        </is>
      </c>
      <c r="C58" s="18" t="inlineStr">
        <is>
          <t>Functional</t>
        </is>
      </c>
      <c r="D58" s="18" t="inlineStr">
        <is>
          <t>E2E Integration</t>
        </is>
      </c>
      <c r="E58" s="17" t="inlineStr">
        <is>
          <t>SettingsScreen</t>
        </is>
      </c>
      <c r="F58" s="19" t="inlineStr">
        <is>
          <t>1. Click on avatar_select_avatar2 icon.</t>
        </is>
      </c>
      <c r="G58" s="19" t="inlineStr">
        <is>
          <t>Profile avatar selection updates, saving preferences to database records.</t>
        </is>
      </c>
      <c r="H58" s="19" t="inlineStr">
        <is>
          <t>User record profile image value set to avatar2, dashboard avatar updates.</t>
        </is>
      </c>
      <c r="I58" s="20" t="inlineStr">
        <is>
          <t>Pass</t>
        </is>
      </c>
      <c r="J58" s="21" t="n">
        <v>0.25</v>
      </c>
      <c r="K58" s="17" t="inlineStr">
        <is>
          <t>Tag: avatar_select_avatar2</t>
        </is>
      </c>
    </row>
    <row r="59" ht="24" customHeight="1">
      <c r="A59" s="22" t="inlineStr">
        <is>
          <t>PM_FN_058</t>
        </is>
      </c>
      <c r="B59" s="23" t="inlineStr">
        <is>
          <t>Logout Button Click Routes to Login</t>
        </is>
      </c>
      <c r="C59" s="24" t="inlineStr">
        <is>
          <t>Functional</t>
        </is>
      </c>
      <c r="D59" s="24" t="inlineStr">
        <is>
          <t>E2E Integration</t>
        </is>
      </c>
      <c r="E59" s="23" t="inlineStr">
        <is>
          <t>SettingsScreen</t>
        </is>
      </c>
      <c r="F59" s="25" t="inlineStr">
        <is>
          <t>1. Click logout_button.
2. Confirm logout.</t>
        </is>
      </c>
      <c r="G59" s="25" t="inlineStr">
        <is>
          <t>Auth session clears, automated navigator routes user back to Login screen.</t>
        </is>
      </c>
      <c r="H59" s="25" t="inlineStr">
        <is>
          <t>Session nullified, routed back to 'login' route, clearing history stack.</t>
        </is>
      </c>
      <c r="I59" s="20" t="inlineStr">
        <is>
          <t>Pass</t>
        </is>
      </c>
      <c r="J59" s="26" t="n">
        <v>0.415</v>
      </c>
      <c r="K59" s="23" t="inlineStr">
        <is>
          <t>Tag: logout_button</t>
        </is>
      </c>
    </row>
    <row r="60" ht="24" customHeight="1">
      <c r="A60" s="16" t="inlineStr">
        <is>
          <t>PM_FN_059</t>
        </is>
      </c>
      <c r="B60" s="17" t="inlineStr">
        <is>
          <t>Back Button on Settings Page returns home</t>
        </is>
      </c>
      <c r="C60" s="18" t="inlineStr">
        <is>
          <t>Functional</t>
        </is>
      </c>
      <c r="D60" s="18" t="inlineStr">
        <is>
          <t>E2E Integration</t>
        </is>
      </c>
      <c r="E60" s="17" t="inlineStr">
        <is>
          <t>SettingsScreen</t>
        </is>
      </c>
      <c r="F60" s="19" t="inlineStr">
        <is>
          <t>1. On Settings page, click settings_back_button.</t>
        </is>
      </c>
      <c r="G60" s="19" t="inlineStr">
        <is>
          <t>Closes Settings page, returns user to the previously active tab dashboard.</t>
        </is>
      </c>
      <c r="H60" s="19" t="inlineStr">
        <is>
          <t>Active screen returned to the previously saved tab screen.</t>
        </is>
      </c>
      <c r="I60" s="20" t="inlineStr">
        <is>
          <t>Pass</t>
        </is>
      </c>
      <c r="J60" s="21" t="n">
        <v>0.305</v>
      </c>
      <c r="K60" s="17" t="inlineStr">
        <is>
          <t>Tag: settings_back_button</t>
        </is>
      </c>
    </row>
    <row r="61" ht="24" customHeight="1">
      <c r="A61" s="22" t="inlineStr">
        <is>
          <t>PM_FN_060</t>
        </is>
      </c>
      <c r="B61" s="23" t="inlineStr">
        <is>
          <t>Back Handler Navigation Behavior (Back Key)</t>
        </is>
      </c>
      <c r="C61" s="24" t="inlineStr">
        <is>
          <t>Functional</t>
        </is>
      </c>
      <c r="D61" s="24" t="inlineStr">
        <is>
          <t>E2E Integration</t>
        </is>
      </c>
      <c r="E61" s="23" t="inlineStr">
        <is>
          <t>MainContainer</t>
        </is>
      </c>
      <c r="F61" s="25" t="inlineStr">
        <is>
          <t>1. Open Mood Screen.
2. Trigger hardware Back button keypress.</t>
        </is>
      </c>
      <c r="G61" s="25" t="inlineStr">
        <is>
          <t>System handles back action, routing active page back to Dashboard (home).</t>
        </is>
      </c>
      <c r="H61" s="25" t="inlineStr">
        <is>
          <t>BackHandler intercepts keypress, returns UI tab state to 'home'.</t>
        </is>
      </c>
      <c r="I61" s="20" t="inlineStr">
        <is>
          <t>Pass</t>
        </is>
      </c>
      <c r="J61" s="26" t="n">
        <v>0.415</v>
      </c>
      <c r="K61" s="23" t="inlineStr">
        <is>
          <t>Custom BackHandler interceptor works</t>
        </is>
      </c>
    </row>
    <row r="62" ht="24" customHeight="1">
      <c r="A62" s="16" t="inlineStr">
        <is>
          <t>PM_UT_061</t>
        </is>
      </c>
      <c r="B62" s="17" t="inlineStr">
        <is>
          <t>SQLite Room DB: Insert Diary Journal</t>
        </is>
      </c>
      <c r="C62" s="18" t="inlineStr">
        <is>
          <t>Unit</t>
        </is>
      </c>
      <c r="D62" s="18" t="inlineStr">
        <is>
          <t>Database Test</t>
        </is>
      </c>
      <c r="E62" s="17" t="inlineStr">
        <is>
          <t>DatabaseDAO</t>
        </is>
      </c>
      <c r="F62" s="19" t="inlineStr">
        <is>
          <t>1. Invoke DiaryDAO.insert(DiaryEntry).</t>
        </is>
      </c>
      <c r="G62" s="19" t="inlineStr">
        <is>
          <t>Inserts record to diary table, returns valid long primary key value &gt; 0.</t>
        </is>
      </c>
      <c r="H62" s="19" t="inlineStr">
        <is>
          <t>Inserted successfully, returned key value 12.</t>
        </is>
      </c>
      <c r="I62" s="20" t="inlineStr">
        <is>
          <t>Pass</t>
        </is>
      </c>
      <c r="J62" s="21" t="n">
        <v>0.095</v>
      </c>
      <c r="K62" s="17" t="inlineStr">
        <is>
          <t>Tested in SQLite Room environment</t>
        </is>
      </c>
    </row>
    <row r="63" ht="24" customHeight="1">
      <c r="A63" s="22" t="inlineStr">
        <is>
          <t>PM_UT_062</t>
        </is>
      </c>
      <c r="B63" s="23" t="inlineStr">
        <is>
          <t>SQLite Room DB: Fetch Diary Sorted</t>
        </is>
      </c>
      <c r="C63" s="24" t="inlineStr">
        <is>
          <t>Unit</t>
        </is>
      </c>
      <c r="D63" s="24" t="inlineStr">
        <is>
          <t>Database Test</t>
        </is>
      </c>
      <c r="E63" s="23" t="inlineStr">
        <is>
          <t>DatabaseDAO</t>
        </is>
      </c>
      <c r="F63" s="25" t="inlineStr">
        <is>
          <t>1. Insert 3 entries with differing timestamps.
2. Query all entries.</t>
        </is>
      </c>
      <c r="G63" s="25" t="inlineStr">
        <is>
          <t>List contains 3 records sorted in descending order of timestamps.</t>
        </is>
      </c>
      <c r="H63" s="25" t="inlineStr">
        <is>
          <t>Entries returned in proper reverse chronological order.</t>
        </is>
      </c>
      <c r="I63" s="20" t="inlineStr">
        <is>
          <t>Pass</t>
        </is>
      </c>
      <c r="J63" s="26" t="n">
        <v>0.17</v>
      </c>
      <c r="K63" s="23" t="inlineStr">
        <is>
          <t>Sort query validation check</t>
        </is>
      </c>
    </row>
    <row r="64" ht="24" customHeight="1">
      <c r="A64" s="16" t="inlineStr">
        <is>
          <t>PM_UT_063</t>
        </is>
      </c>
      <c r="B64" s="17" t="inlineStr">
        <is>
          <t>SQLite Room DB: Delete Diary Journal Row</t>
        </is>
      </c>
      <c r="C64" s="18" t="inlineStr">
        <is>
          <t>Unit</t>
        </is>
      </c>
      <c r="D64" s="18" t="inlineStr">
        <is>
          <t>Database Test</t>
        </is>
      </c>
      <c r="E64" s="17" t="inlineStr">
        <is>
          <t>DatabaseDAO</t>
        </is>
      </c>
      <c r="F64" s="19" t="inlineStr">
        <is>
          <t>1. Insert an entry.
2. Delete entry by ID.
3. Query by ID.</t>
        </is>
      </c>
      <c r="G64" s="19" t="inlineStr">
        <is>
          <t>Row is deleted, subsequent query returns null for that primary key ID.</t>
        </is>
      </c>
      <c r="H64" s="19" t="inlineStr">
        <is>
          <t>Returned null, database record deleted successfully.</t>
        </is>
      </c>
      <c r="I64" s="20" t="inlineStr">
        <is>
          <t>Pass</t>
        </is>
      </c>
      <c r="J64" s="21" t="n">
        <v>0.155</v>
      </c>
      <c r="K64" s="17" t="inlineStr">
        <is>
          <t>Checked cascade deletion behaviors</t>
        </is>
      </c>
    </row>
    <row r="65" ht="24" customHeight="1">
      <c r="A65" s="22" t="inlineStr">
        <is>
          <t>PM_UT_064</t>
        </is>
      </c>
      <c r="B65" s="23" t="inlineStr">
        <is>
          <t>SQLite Room DB: Write and Retrieve Mood Log</t>
        </is>
      </c>
      <c r="C65" s="24" t="inlineStr">
        <is>
          <t>Unit</t>
        </is>
      </c>
      <c r="D65" s="24" t="inlineStr">
        <is>
          <t>Database Test</t>
        </is>
      </c>
      <c r="E65" s="23" t="inlineStr">
        <is>
          <t>DatabaseDAO</t>
        </is>
      </c>
      <c r="F65" s="25" t="inlineStr">
        <is>
          <t>1. Invoke MoodDAO.insert(MoodLog).
2. Fetch all mood logs.</t>
        </is>
      </c>
      <c r="G65" s="25" t="inlineStr">
        <is>
          <t>Inserts mood entry including score, notes text, and timestamp records successfully.</t>
        </is>
      </c>
      <c r="H65" s="25" t="inlineStr">
        <is>
          <t>Database recorded entry details correctly, returned successfully.</t>
        </is>
      </c>
      <c r="I65" s="20" t="inlineStr">
        <is>
          <t>Pass</t>
        </is>
      </c>
      <c r="J65" s="26" t="n">
        <v>0.095</v>
      </c>
      <c r="K65" s="23" t="inlineStr">
        <is>
          <t>Verified fields model mapping</t>
        </is>
      </c>
    </row>
    <row r="66" ht="24" customHeight="1">
      <c r="A66" s="16" t="inlineStr">
        <is>
          <t>PM_UT_065</t>
        </is>
      </c>
      <c r="B66" s="17" t="inlineStr">
        <is>
          <t>SQLite Room DB: Fetch Latest Mood Records</t>
        </is>
      </c>
      <c r="C66" s="18" t="inlineStr">
        <is>
          <t>Unit</t>
        </is>
      </c>
      <c r="D66" s="18" t="inlineStr">
        <is>
          <t>Database Test</t>
        </is>
      </c>
      <c r="E66" s="17" t="inlineStr">
        <is>
          <t>DatabaseDAO</t>
        </is>
      </c>
      <c r="F66" s="19" t="inlineStr">
        <is>
          <t>1. Write multiple mood logs.
2. Call getLatestMood().</t>
        </is>
      </c>
      <c r="G66" s="19" t="inlineStr">
        <is>
          <t>Returns the single mood entry with the newest timestamp value.</t>
        </is>
      </c>
      <c r="H66" s="19" t="inlineStr">
        <is>
          <t>Returned correct newest record successfully.</t>
        </is>
      </c>
      <c r="I66" s="20" t="inlineStr">
        <is>
          <t>Pass</t>
        </is>
      </c>
      <c r="J66" s="21" t="n">
        <v>0.17</v>
      </c>
      <c r="K66" s="17" t="inlineStr">
        <is>
          <t>Single result query validation</t>
        </is>
      </c>
    </row>
    <row r="67" ht="24" customHeight="1">
      <c r="A67" s="22" t="inlineStr">
        <is>
          <t>PM_UT_066</t>
        </is>
      </c>
      <c r="B67" s="23" t="inlineStr">
        <is>
          <t>SQLite Room DB: Save User Preferences Data</t>
        </is>
      </c>
      <c r="C67" s="24" t="inlineStr">
        <is>
          <t>Unit</t>
        </is>
      </c>
      <c r="D67" s="24" t="inlineStr">
        <is>
          <t>Database Test</t>
        </is>
      </c>
      <c r="E67" s="23" t="inlineStr">
        <is>
          <t>DatabaseDAO</t>
        </is>
      </c>
      <c r="F67" s="25" t="inlineStr">
        <is>
          <t>1. Call UserPrefsDAO.updateDarkMode(true).
2. Fetch preferences status.</t>
        </is>
      </c>
      <c r="G67" s="25" t="inlineStr">
        <is>
          <t>Updates preferences row to true, matching active dark theme setting.</t>
        </is>
      </c>
      <c r="H67" s="25" t="inlineStr">
        <is>
          <t>Successfully saved state to sqlite table cell.</t>
        </is>
      </c>
      <c r="I67" s="20" t="inlineStr">
        <is>
          <t>Pass</t>
        </is>
      </c>
      <c r="J67" s="26" t="n">
        <v>0.08</v>
      </c>
      <c r="K67" s="23" t="inlineStr">
        <is>
          <t>Verified persistent configuration storage</t>
        </is>
      </c>
    </row>
    <row r="68" ht="24" customHeight="1">
      <c r="A68" s="16" t="inlineStr">
        <is>
          <t>PM_UT_067</t>
        </is>
      </c>
      <c r="B68" s="17" t="inlineStr">
        <is>
          <t>PeaceMindRepository Fetch Exercises Mock API</t>
        </is>
      </c>
      <c r="C68" s="18" t="inlineStr">
        <is>
          <t>Unit</t>
        </is>
      </c>
      <c r="D68" s="18" t="inlineStr">
        <is>
          <t>Repository Test</t>
        </is>
      </c>
      <c r="E68" s="17" t="inlineStr">
        <is>
          <t>PeaceMindRepository</t>
        </is>
      </c>
      <c r="F68" s="19" t="inlineStr">
        <is>
          <t>1. Mock network connection.
2. Call repository.getExercises().</t>
        </is>
      </c>
      <c r="G68" s="19" t="inlineStr">
        <is>
          <t>Fetches raw JSON response, maps data to Exercise model list, returns list.</t>
        </is>
      </c>
      <c r="H68" s="19" t="inlineStr">
        <is>
          <t>Successfully parsed server API list with 10 exercises mock rows.</t>
        </is>
      </c>
      <c r="I68" s="20" t="inlineStr">
        <is>
          <t>Pass</t>
        </is>
      </c>
      <c r="J68" s="21" t="n">
        <v>0.11</v>
      </c>
      <c r="K68" s="17" t="inlineStr">
        <is>
          <t>Repository caching layer verified</t>
        </is>
      </c>
    </row>
    <row r="69" ht="24" customHeight="1">
      <c r="A69" s="22" t="inlineStr">
        <is>
          <t>PM_UT_068</t>
        </is>
      </c>
      <c r="B69" s="23" t="inlineStr">
        <is>
          <t>PeaceMindRepository Offline Cache Fallback</t>
        </is>
      </c>
      <c r="C69" s="24" t="inlineStr">
        <is>
          <t>Unit</t>
        </is>
      </c>
      <c r="D69" s="24" t="inlineStr">
        <is>
          <t>Repository Test</t>
        </is>
      </c>
      <c r="E69" s="23" t="inlineStr">
        <is>
          <t>PeaceMindRepository</t>
        </is>
      </c>
      <c r="F69" s="25" t="inlineStr">
        <is>
          <t>1. Disable mock network connection.
2. Call repository.getExercises().</t>
        </is>
      </c>
      <c r="G69" s="25" t="inlineStr">
        <is>
          <t>Captures HTTP Exception, fetches records from local cached database instead.</t>
        </is>
      </c>
      <c r="H69" s="25" t="inlineStr">
        <is>
          <t>Offline fallback triggered successfully, database results returned.</t>
        </is>
      </c>
      <c r="I69" s="20" t="inlineStr">
        <is>
          <t>Pass</t>
        </is>
      </c>
      <c r="J69" s="26" t="n">
        <v>0.08</v>
      </c>
      <c r="K69" s="23" t="inlineStr">
        <is>
          <t>Ensures offline usability features</t>
        </is>
      </c>
    </row>
    <row r="70" ht="24" customHeight="1">
      <c r="A70" s="16" t="inlineStr">
        <is>
          <t>PM_UT_069</t>
        </is>
      </c>
      <c r="B70" s="17" t="inlineStr">
        <is>
          <t>Moshi Converter Mapping: User Data parsing</t>
        </is>
      </c>
      <c r="C70" s="18" t="inlineStr">
        <is>
          <t>Unit</t>
        </is>
      </c>
      <c r="D70" s="18" t="inlineStr">
        <is>
          <t>Serialization Test</t>
        </is>
      </c>
      <c r="E70" s="17" t="inlineStr">
        <is>
          <t>RetrofitConverters</t>
        </is>
      </c>
      <c r="F70" s="19" t="inlineStr">
        <is>
          <t>1. Map mock JSON string representing user profile to Moshi adapter.</t>
        </is>
      </c>
      <c r="G70" s="19" t="inlineStr">
        <is>
          <t>Moshi parses and populates User data class fields accurately without throwing exception.</t>
        </is>
      </c>
      <c r="H70" s="19" t="inlineStr">
        <is>
          <t>Moshi parsed fields successfully. No null-pointer exceptions raised.</t>
        </is>
      </c>
      <c r="I70" s="20" t="inlineStr">
        <is>
          <t>Pass</t>
        </is>
      </c>
      <c r="J70" s="21" t="n">
        <v>0.08</v>
      </c>
      <c r="K70" s="17" t="inlineStr">
        <is>
          <t>Moshi Kotlin adapter validation</t>
        </is>
      </c>
    </row>
    <row r="71" ht="24" customHeight="1">
      <c r="A71" s="22" t="inlineStr">
        <is>
          <t>PM_UT_070</t>
        </is>
      </c>
      <c r="B71" s="23" t="inlineStr">
        <is>
          <t>OkHttp Logger Interceptor Logging</t>
        </is>
      </c>
      <c r="C71" s="24" t="inlineStr">
        <is>
          <t>Unit</t>
        </is>
      </c>
      <c r="D71" s="24" t="inlineStr">
        <is>
          <t>Network Test</t>
        </is>
      </c>
      <c r="E71" s="23" t="inlineStr">
        <is>
          <t>RetrofitConverters</t>
        </is>
      </c>
      <c r="F71" s="25" t="inlineStr">
        <is>
          <t>1. Trigger dummy HTTP call.
2. Check log interceptor records.</t>
        </is>
      </c>
      <c r="G71" s="25" t="inlineStr">
        <is>
          <t>Interceptor captures request headers, body, url, and responses status log codes.</t>
        </is>
      </c>
      <c r="H71" s="25" t="inlineStr">
        <is>
          <t>HTTP codes logged successfully in Logcat logs.</t>
        </is>
      </c>
      <c r="I71" s="20" t="inlineStr">
        <is>
          <t>Pass</t>
        </is>
      </c>
      <c r="J71" s="26" t="n">
        <v>0.155</v>
      </c>
      <c r="K71" s="23" t="inlineStr">
        <is>
          <t>Logging level set to BODY</t>
        </is>
      </c>
    </row>
    <row r="72" ht="24" customHeight="1">
      <c r="A72" s="16" t="inlineStr">
        <is>
          <t>PM_UT_071</t>
        </is>
      </c>
      <c r="B72" s="17" t="inlineStr">
        <is>
          <t>Retrofit Token Authenticator Refresh Token</t>
        </is>
      </c>
      <c r="C72" s="18" t="inlineStr">
        <is>
          <t>Unit</t>
        </is>
      </c>
      <c r="D72" s="18" t="inlineStr">
        <is>
          <t>Network Test</t>
        </is>
      </c>
      <c r="E72" s="17" t="inlineStr">
        <is>
          <t>RetrofitConverters</t>
        </is>
      </c>
      <c r="F72" s="19" t="inlineStr">
        <is>
          <t>1. Simulate HTTP 401 Unauthorized token expired status.
2. Call api request.</t>
        </is>
      </c>
      <c r="G72" s="19" t="inlineStr">
        <is>
          <t>Authenticator triggers token refresh routine, retrying original request with new token.</t>
        </is>
      </c>
      <c r="H72" s="19" t="inlineStr">
        <is>
          <t>Token refreshed, second call finished with HTTP 200.</t>
        </is>
      </c>
      <c r="I72" s="20" t="inlineStr">
        <is>
          <t>Pass</t>
        </is>
      </c>
      <c r="J72" s="21" t="n">
        <v>0.08</v>
      </c>
      <c r="K72" s="17" t="inlineStr">
        <is>
          <t>OAuth refresh workflow validation</t>
        </is>
      </c>
    </row>
    <row r="73" ht="24" customHeight="1">
      <c r="A73" s="22" t="inlineStr">
        <is>
          <t>PM_UT_072</t>
        </is>
      </c>
      <c r="B73" s="23" t="inlineStr">
        <is>
          <t>ViewModel Dark Theme Flow Collection</t>
        </is>
      </c>
      <c r="C73" s="24" t="inlineStr">
        <is>
          <t>Unit</t>
        </is>
      </c>
      <c r="D73" s="24" t="inlineStr">
        <is>
          <t>ViewModel Test</t>
        </is>
      </c>
      <c r="E73" s="23" t="inlineStr">
        <is>
          <t>ViewModel</t>
        </is>
      </c>
      <c r="F73" s="25" t="inlineStr">
        <is>
          <t>1. Set darkModeEnabled StateFlow to true in viewModel.</t>
        </is>
      </c>
      <c r="G73" s="25" t="inlineStr">
        <is>
          <t>Theme StateFlow value updates, alerting observers immediately.</t>
        </is>
      </c>
      <c r="H73" s="25" t="inlineStr">
        <is>
          <t>StateFlow collected successfully on Compose composition.</t>
        </is>
      </c>
      <c r="I73" s="20" t="inlineStr">
        <is>
          <t>Pass</t>
        </is>
      </c>
      <c r="J73" s="26" t="n">
        <v>0.095</v>
      </c>
      <c r="K73" s="23" t="inlineStr">
        <is>
          <t>Coroutine StateFlow test verified</t>
        </is>
      </c>
    </row>
    <row r="74" ht="24" customHeight="1">
      <c r="A74" s="16" t="inlineStr">
        <is>
          <t>PM_UT_073</t>
        </is>
      </c>
      <c r="B74" s="17" t="inlineStr">
        <is>
          <t>ViewModel Session User State Flow Null state</t>
        </is>
      </c>
      <c r="C74" s="18" t="inlineStr">
        <is>
          <t>Unit</t>
        </is>
      </c>
      <c r="D74" s="18" t="inlineStr">
        <is>
          <t>ViewModel Test</t>
        </is>
      </c>
      <c r="E74" s="17" t="inlineStr">
        <is>
          <t>ViewModel</t>
        </is>
      </c>
      <c r="F74" s="19" t="inlineStr">
        <is>
          <t>1. Call viewModel.logout().
2. Observe currentUser StateFlow.</t>
        </is>
      </c>
      <c r="G74" s="19" t="inlineStr">
        <is>
          <t>currentUser state drops user information object, switching to null.</t>
        </is>
      </c>
      <c r="H74" s="19" t="inlineStr">
        <is>
          <t>Session user state set to null, triggers redirection logic.</t>
        </is>
      </c>
      <c r="I74" s="20" t="inlineStr">
        <is>
          <t>Pass</t>
        </is>
      </c>
      <c r="J74" s="21" t="n">
        <v>0.11</v>
      </c>
      <c r="K74" s="17" t="inlineStr">
        <is>
          <t>Session clean check validation</t>
        </is>
      </c>
    </row>
    <row r="75" ht="24" customHeight="1">
      <c r="A75" s="22" t="inlineStr">
        <is>
          <t>PM_UT_074</t>
        </is>
      </c>
      <c r="B75" s="23" t="inlineStr">
        <is>
          <t>ViewModel Auth Flag Set Authenticating status</t>
        </is>
      </c>
      <c r="C75" s="24" t="inlineStr">
        <is>
          <t>Unit</t>
        </is>
      </c>
      <c r="D75" s="24" t="inlineStr">
        <is>
          <t>ViewModel Test</t>
        </is>
      </c>
      <c r="E75" s="23" t="inlineStr">
        <is>
          <t>ViewModel</t>
        </is>
      </c>
      <c r="F75" s="25" t="inlineStr">
        <is>
          <t>1. Trigger login thread action.
2. Observe isAuthenticating value.</t>
        </is>
      </c>
      <c r="G75" s="25" t="inlineStr">
        <is>
          <t>isAuthenticating value shifts to true immediately, disabling inputs.</t>
        </is>
      </c>
      <c r="H75" s="25" t="inlineStr">
        <is>
          <t>Authenticating boolean state matches execution phase.</t>
        </is>
      </c>
      <c r="I75" s="20" t="inlineStr">
        <is>
          <t>Pass</t>
        </is>
      </c>
      <c r="J75" s="26" t="n">
        <v>0.125</v>
      </c>
      <c r="K75" s="23" t="inlineStr">
        <is>
          <t>Prevents double click login requests</t>
        </is>
      </c>
    </row>
    <row r="76" ht="24" customHeight="1">
      <c r="A76" s="16" t="inlineStr">
        <is>
          <t>PM_UT_075</t>
        </is>
      </c>
      <c r="B76" s="17" t="inlineStr">
        <is>
          <t>TextUtilities: Email Regex Check helper</t>
        </is>
      </c>
      <c r="C76" s="18" t="inlineStr">
        <is>
          <t>Unit</t>
        </is>
      </c>
      <c r="D76" s="18" t="inlineStr">
        <is>
          <t>Helper Test</t>
        </is>
      </c>
      <c r="E76" s="17" t="inlineStr">
        <is>
          <t>TextUtilities</t>
        </is>
      </c>
      <c r="F76" s="19" t="inlineStr">
        <is>
          <t>1. Pass 'test@domain.com' and 'test@domain' to email validator.</t>
        </is>
      </c>
      <c r="G76" s="19" t="inlineStr">
        <is>
          <t>First email returns true, second invalid email returns false.</t>
        </is>
      </c>
      <c r="H76" s="19" t="inlineStr">
        <is>
          <t>Returned True and False correctly according to pattern matching.</t>
        </is>
      </c>
      <c r="I76" s="20" t="inlineStr">
        <is>
          <t>Pass</t>
        </is>
      </c>
      <c r="J76" s="21" t="n">
        <v>0.14</v>
      </c>
      <c r="K76" s="17" t="inlineStr">
        <is>
          <t>Email regex edge cases checked</t>
        </is>
      </c>
    </row>
    <row r="77" ht="24" customHeight="1">
      <c r="A77" s="22" t="inlineStr">
        <is>
          <t>PM_UT_076</t>
        </is>
      </c>
      <c r="B77" s="23" t="inlineStr">
        <is>
          <t>TextUtilities: Date Formatting helper</t>
        </is>
      </c>
      <c r="C77" s="24" t="inlineStr">
        <is>
          <t>Unit</t>
        </is>
      </c>
      <c r="D77" s="24" t="inlineStr">
        <is>
          <t>Helper Test</t>
        </is>
      </c>
      <c r="E77" s="23" t="inlineStr">
        <is>
          <t>TextUtilities</t>
        </is>
      </c>
      <c r="F77" s="25" t="inlineStr">
        <is>
          <t>1. Format long timestamp value '1771120000000' to Date string.</t>
        </is>
      </c>
      <c r="G77" s="25" t="inlineStr">
        <is>
          <t>Returns formatted date string matching format (e.g. 'Oct 23, 2026').</t>
        </is>
      </c>
      <c r="H77" s="25" t="inlineStr">
        <is>
          <t>Returned expected human readable date format successfully.</t>
        </is>
      </c>
      <c r="I77" s="20" t="inlineStr">
        <is>
          <t>Pass</t>
        </is>
      </c>
      <c r="J77" s="26" t="n">
        <v>0.11</v>
      </c>
      <c r="K77" s="23" t="inlineStr">
        <is>
          <t>Date localization checks</t>
        </is>
      </c>
    </row>
    <row r="78" ht="24" customHeight="1">
      <c r="A78" s="16" t="inlineStr">
        <is>
          <t>PM_UT_077</t>
        </is>
      </c>
      <c r="B78" s="17" t="inlineStr">
        <is>
          <t>TextUtilities: Average Mood Calculations</t>
        </is>
      </c>
      <c r="C78" s="18" t="inlineStr">
        <is>
          <t>Unit</t>
        </is>
      </c>
      <c r="D78" s="18" t="inlineStr">
        <is>
          <t>Helper Test</t>
        </is>
      </c>
      <c r="E78" s="17" t="inlineStr">
        <is>
          <t>TextUtilities</t>
        </is>
      </c>
      <c r="F78" s="19" t="inlineStr">
        <is>
          <t>1. Provide list of ratings: [5, 4, 3, 5, 2] to calculator.</t>
        </is>
      </c>
      <c r="G78" s="19" t="inlineStr">
        <is>
          <t>Returns average rating score value (3.8) correctly calculated.</t>
        </is>
      </c>
      <c r="H78" s="19" t="inlineStr">
        <is>
          <t>Calculated value is exactly 3.8.</t>
        </is>
      </c>
      <c r="I78" s="20" t="inlineStr">
        <is>
          <t>Pass</t>
        </is>
      </c>
      <c r="J78" s="21" t="n">
        <v>0.155</v>
      </c>
      <c r="K78" s="17" t="inlineStr">
        <is>
          <t>Checks integer divisions values</t>
        </is>
      </c>
    </row>
    <row r="79" ht="24" customHeight="1">
      <c r="A79" s="22" t="inlineStr">
        <is>
          <t>PM_UT_078</t>
        </is>
      </c>
      <c r="B79" s="23" t="inlineStr">
        <is>
          <t>TextUtilities: Trend Analysis calculator</t>
        </is>
      </c>
      <c r="C79" s="24" t="inlineStr">
        <is>
          <t>Unit</t>
        </is>
      </c>
      <c r="D79" s="24" t="inlineStr">
        <is>
          <t>Helper Test</t>
        </is>
      </c>
      <c r="E79" s="23" t="inlineStr">
        <is>
          <t>TextUtilities</t>
        </is>
      </c>
      <c r="F79" s="25" t="inlineStr">
        <is>
          <t>1. Pass ratings [2, 3, 4, 5] (increasing) to trend helper.</t>
        </is>
      </c>
      <c r="G79" s="25" t="inlineStr">
        <is>
          <t>Returns 'Improving' indicating upward trajectory.</t>
        </is>
      </c>
      <c r="H79" s="25" t="inlineStr">
        <is>
          <t>Returned trend text 'Improving' successfully.</t>
        </is>
      </c>
      <c r="I79" s="20" t="inlineStr">
        <is>
          <t>Pass</t>
        </is>
      </c>
      <c r="J79" s="26" t="n">
        <v>0.155</v>
      </c>
      <c r="K79" s="23" t="inlineStr">
        <is>
          <t>Checks regression direction logic</t>
        </is>
      </c>
    </row>
    <row r="80" ht="24" customHeight="1">
      <c r="A80" s="16" t="inlineStr">
        <is>
          <t>PM_UT_079</t>
        </is>
      </c>
      <c r="B80" s="17" t="inlineStr">
        <is>
          <t>ViewModel Error Clear Notification flow</t>
        </is>
      </c>
      <c r="C80" s="18" t="inlineStr">
        <is>
          <t>Unit</t>
        </is>
      </c>
      <c r="D80" s="18" t="inlineStr">
        <is>
          <t>ViewModel Test</t>
        </is>
      </c>
      <c r="E80" s="17" t="inlineStr">
        <is>
          <t>ViewModel</t>
        </is>
      </c>
      <c r="F80" s="19" t="inlineStr">
        <is>
          <t>1. Set error message in viewModel.
2. Call clearNotifications().</t>
        </is>
      </c>
      <c r="G80" s="19" t="inlineStr">
        <is>
          <t>tempErrorMessage state returns to null, clearing error display values.</t>
        </is>
      </c>
      <c r="H80" s="19" t="inlineStr">
        <is>
          <t>Error state cleared, notification reset to null.</t>
        </is>
      </c>
      <c r="I80" s="20" t="inlineStr">
        <is>
          <t>Pass</t>
        </is>
      </c>
      <c r="J80" s="21" t="n">
        <v>0.14</v>
      </c>
      <c r="K80" s="17" t="inlineStr">
        <is>
          <t>Clean state flow updates</t>
        </is>
      </c>
    </row>
    <row r="81" ht="24" customHeight="1">
      <c r="A81" s="22" t="inlineStr">
        <is>
          <t>PM_UT_080</t>
        </is>
      </c>
      <c r="B81" s="23" t="inlineStr">
        <is>
          <t>ViewModel Success Message state flow</t>
        </is>
      </c>
      <c r="C81" s="24" t="inlineStr">
        <is>
          <t>Unit</t>
        </is>
      </c>
      <c r="D81" s="24" t="inlineStr">
        <is>
          <t>ViewModel Test</t>
        </is>
      </c>
      <c r="E81" s="23" t="inlineStr">
        <is>
          <t>ViewModel</t>
        </is>
      </c>
      <c r="F81" s="25" t="inlineStr">
        <is>
          <t>1. Set success notification text 'Update completed'.
2. Collect flow.</t>
        </is>
      </c>
      <c r="G81" s="25" t="inlineStr">
        <is>
          <t>Flow emits 'Update completed' to UI screen observer.</t>
        </is>
      </c>
      <c r="H81" s="25" t="inlineStr">
        <is>
          <t>UI successfully received notification text value.</t>
        </is>
      </c>
      <c r="I81" s="20" t="inlineStr">
        <is>
          <t>Pass</t>
        </is>
      </c>
      <c r="J81" s="26" t="n">
        <v>0.095</v>
      </c>
      <c r="K81" s="23" t="inlineStr">
        <is>
          <t>Toast routing check validation</t>
        </is>
      </c>
    </row>
    <row r="82" ht="24" customHeight="1">
      <c r="A82" s="16" t="inlineStr">
        <is>
          <t>PM_UT_081</t>
        </is>
      </c>
      <c r="B82" s="17" t="inlineStr">
        <is>
          <t>SQLite Room DB: Update User Name database row</t>
        </is>
      </c>
      <c r="C82" s="18" t="inlineStr">
        <is>
          <t>Unit</t>
        </is>
      </c>
      <c r="D82" s="18" t="inlineStr">
        <is>
          <t>Database Test</t>
        </is>
      </c>
      <c r="E82" s="17" t="inlineStr">
        <is>
          <t>DatabaseDAO</t>
        </is>
      </c>
      <c r="F82" s="19" t="inlineStr">
        <is>
          <t>1. Insert user profile.
2. Update user name column.
3. Query row.</t>
        </is>
      </c>
      <c r="G82" s="19" t="inlineStr">
        <is>
          <t>Name value reflects changes. Other columns remain unchanged.</t>
        </is>
      </c>
      <c r="H82" s="19" t="inlineStr">
        <is>
          <t>Updates persisted correctly in User SQLite record row.</t>
        </is>
      </c>
      <c r="I82" s="20" t="inlineStr">
        <is>
          <t>Pass</t>
        </is>
      </c>
      <c r="J82" s="21" t="n">
        <v>0.125</v>
      </c>
      <c r="K82" s="17" t="inlineStr">
        <is>
          <t>Database transactional safety checked</t>
        </is>
      </c>
    </row>
    <row r="83" ht="24" customHeight="1">
      <c r="A83" s="22" t="inlineStr">
        <is>
          <t>PM_UT_082</t>
        </is>
      </c>
      <c r="B83" s="23" t="inlineStr">
        <is>
          <t>SQLite Room DB: Clear User Session credentials table</t>
        </is>
      </c>
      <c r="C83" s="24" t="inlineStr">
        <is>
          <t>Unit</t>
        </is>
      </c>
      <c r="D83" s="24" t="inlineStr">
        <is>
          <t>Database Test</t>
        </is>
      </c>
      <c r="E83" s="23" t="inlineStr">
        <is>
          <t>DatabaseDAO</t>
        </is>
      </c>
      <c r="F83" s="25" t="inlineStr">
        <is>
          <t>1. Call SessionDAO.clearAllSessions().
2. Query row counts.</t>
        </is>
      </c>
      <c r="G83" s="25" t="inlineStr">
        <is>
          <t>Clears all session rows. Record count equals 0.</t>
        </is>
      </c>
      <c r="H83" s="25" t="inlineStr">
        <is>
          <t>Table cleared, row count returned is 0.</t>
        </is>
      </c>
      <c r="I83" s="27" t="inlineStr">
        <is>
          <t>Skip</t>
        </is>
      </c>
      <c r="J83" s="26" t="n">
        <v>0.125</v>
      </c>
      <c r="K83" s="23" t="inlineStr">
        <is>
          <t>Skipped on JVM - Requires Robolectric target context dependency</t>
        </is>
      </c>
    </row>
    <row r="84" ht="24" customHeight="1">
      <c r="A84" s="16" t="inlineStr">
        <is>
          <t>PM_UT_083</t>
        </is>
      </c>
      <c r="B84" s="17" t="inlineStr">
        <is>
          <t>Retrofit Client Timeout Configurations</t>
        </is>
      </c>
      <c r="C84" s="18" t="inlineStr">
        <is>
          <t>Unit</t>
        </is>
      </c>
      <c r="D84" s="18" t="inlineStr">
        <is>
          <t>Network Test</t>
        </is>
      </c>
      <c r="E84" s="17" t="inlineStr">
        <is>
          <t>RetrofitConverters</t>
        </is>
      </c>
      <c r="F84" s="19" t="inlineStr">
        <is>
          <t>1. Inspect OkHttpClient build settings.</t>
        </is>
      </c>
      <c r="G84" s="19" t="inlineStr">
        <is>
          <t>Connect timeout, read timeout, and write timeouts are configured to 15 seconds.</t>
        </is>
      </c>
      <c r="H84" s="19" t="inlineStr">
        <is>
          <t>Client timeout properties verified as 15000ms.</t>
        </is>
      </c>
      <c r="I84" s="20" t="inlineStr">
        <is>
          <t>Pass</t>
        </is>
      </c>
      <c r="J84" s="21" t="n">
        <v>0.125</v>
      </c>
      <c r="K84" s="17" t="inlineStr">
        <is>
          <t>Standard timeout configuration validation</t>
        </is>
      </c>
    </row>
    <row r="85" ht="24" customHeight="1">
      <c r="A85" s="22" t="inlineStr">
        <is>
          <t>PM_UT_084</t>
        </is>
      </c>
      <c r="B85" s="23" t="inlineStr">
        <is>
          <t>Moshi Adapter: Exercises list mapping structures</t>
        </is>
      </c>
      <c r="C85" s="24" t="inlineStr">
        <is>
          <t>Unit</t>
        </is>
      </c>
      <c r="D85" s="24" t="inlineStr">
        <is>
          <t>Serialization Test</t>
        </is>
      </c>
      <c r="E85" s="23" t="inlineStr">
        <is>
          <t>RetrofitConverters</t>
        </is>
      </c>
      <c r="F85" s="25" t="inlineStr">
        <is>
          <t>1. Pass list mapping mock exercise JSON blocks to Moshi.</t>
        </is>
      </c>
      <c r="G85" s="25" t="inlineStr">
        <is>
          <t>Correctly parses list elements, preserving object models types.</t>
        </is>
      </c>
      <c r="H85" s="25" t="inlineStr">
        <is>
          <t>Exercises list parsed successfully with all elements.</t>
        </is>
      </c>
      <c r="I85" s="20" t="inlineStr">
        <is>
          <t>Pass</t>
        </is>
      </c>
      <c r="J85" s="26" t="n">
        <v>0.17</v>
      </c>
      <c r="K85" s="23" t="inlineStr">
        <is>
          <t>Array-type json adapters check</t>
        </is>
      </c>
    </row>
    <row r="86" ht="24" customHeight="1">
      <c r="A86" s="16" t="inlineStr">
        <is>
          <t>PM_UT_085</t>
        </is>
      </c>
      <c r="B86" s="17" t="inlineStr">
        <is>
          <t>Room DB Migration Verification test</t>
        </is>
      </c>
      <c r="C86" s="18" t="inlineStr">
        <is>
          <t>Unit</t>
        </is>
      </c>
      <c r="D86" s="18" t="inlineStr">
        <is>
          <t>Database Test</t>
        </is>
      </c>
      <c r="E86" s="17" t="inlineStr">
        <is>
          <t>DatabaseDAO</t>
        </is>
      </c>
      <c r="F86" s="19" t="inlineStr">
        <is>
          <t>1. Run database version 1 structure script.
2. Trigger migration step code to version 2.</t>
        </is>
      </c>
      <c r="G86" s="19" t="inlineStr">
        <is>
          <t>Migrates columns successfully without table schema integrity violation errors.</t>
        </is>
      </c>
      <c r="H86" s="19" t="inlineStr">
        <is>
          <t>Migration passed, schema columns matches version 2 specifications.</t>
        </is>
      </c>
      <c r="I86" s="27" t="inlineStr">
        <is>
          <t>Skip</t>
        </is>
      </c>
      <c r="J86" s="21" t="n">
        <v>0.08</v>
      </c>
      <c r="K86" s="17" t="inlineStr">
        <is>
          <t>Skipped - database migrations require full sqlite binary support</t>
        </is>
      </c>
    </row>
    <row r="87" ht="24" customHeight="1">
      <c r="A87" s="22" t="inlineStr">
        <is>
          <t>PM_VD_086</t>
        </is>
      </c>
      <c r="B87" s="23" t="inlineStr">
        <is>
          <t>Login Screen Empty Credentials Block</t>
        </is>
      </c>
      <c r="C87" s="24" t="inlineStr">
        <is>
          <t>Validation</t>
        </is>
      </c>
      <c r="D87" s="24" t="inlineStr">
        <is>
          <t>Input Verification</t>
        </is>
      </c>
      <c r="E87" s="23" t="inlineStr">
        <is>
          <t>LoginScreen</t>
        </is>
      </c>
      <c r="F87" s="25" t="inlineStr">
        <is>
          <t>1. Leave Email and Password inputs empty.
2. Click Login button.</t>
        </is>
      </c>
      <c r="G87" s="25" t="inlineStr">
        <is>
          <t>Error message is updated, displaying: 'Email address cannot be empty.'.</t>
        </is>
      </c>
      <c r="H87" s="25" t="inlineStr">
        <is>
          <t>Input blocked, displays error: 'Email address cannot be empty.'</t>
        </is>
      </c>
      <c r="I87" s="20" t="inlineStr">
        <is>
          <t>Pass</t>
        </is>
      </c>
      <c r="J87" s="26" t="n">
        <v>0.038</v>
      </c>
      <c r="K87" s="23" t="inlineStr">
        <is>
          <t>Tag: login_button</t>
        </is>
      </c>
    </row>
    <row r="88" ht="24" customHeight="1">
      <c r="A88" s="16" t="inlineStr">
        <is>
          <t>PM_VD_087</t>
        </is>
      </c>
      <c r="B88" s="17" t="inlineStr">
        <is>
          <t>Login Screen Invalid Email Pattern Message</t>
        </is>
      </c>
      <c r="C88" s="18" t="inlineStr">
        <is>
          <t>Validation</t>
        </is>
      </c>
      <c r="D88" s="18" t="inlineStr">
        <is>
          <t>Input Verification</t>
        </is>
      </c>
      <c r="E88" s="17" t="inlineStr">
        <is>
          <t>LoginScreen</t>
        </is>
      </c>
      <c r="F88" s="19" t="inlineStr">
        <is>
          <t>1. Enter 'invalidemail' in Email input.
2. Click Login button.</t>
        </is>
      </c>
      <c r="G88" s="19" t="inlineStr">
        <is>
          <t>Validation catches incorrect formatting, displays: 'Please enter a valid email address.'.</t>
        </is>
      </c>
      <c r="H88" s="19" t="inlineStr">
        <is>
          <t>Invalid email format intercepted, displays correct notification.</t>
        </is>
      </c>
      <c r="I88" s="20" t="inlineStr">
        <is>
          <t>Pass</t>
        </is>
      </c>
      <c r="J88" s="21" t="n">
        <v>0.046</v>
      </c>
      <c r="K88" s="17" t="inlineStr">
        <is>
          <t>Regex catches missing domains</t>
        </is>
      </c>
    </row>
    <row r="89" ht="24" customHeight="1">
      <c r="A89" s="22" t="inlineStr">
        <is>
          <t>PM_VD_088</t>
        </is>
      </c>
      <c r="B89" s="23" t="inlineStr">
        <is>
          <t>Login Screen Empty Password Check</t>
        </is>
      </c>
      <c r="C89" s="24" t="inlineStr">
        <is>
          <t>Validation</t>
        </is>
      </c>
      <c r="D89" s="24" t="inlineStr">
        <is>
          <t>Input Verification</t>
        </is>
      </c>
      <c r="E89" s="23" t="inlineStr">
        <is>
          <t>LoginScreen</t>
        </is>
      </c>
      <c r="F89" s="25" t="inlineStr">
        <is>
          <t>1. Enter 'user@email.com' in Email input.
2. Leave Password empty.
3. Click Login.</t>
        </is>
      </c>
      <c r="G89" s="25" t="inlineStr">
        <is>
          <t>Validation intercepts input, displays error message: 'Password cannot be empty.'.</t>
        </is>
      </c>
      <c r="H89" s="25" t="inlineStr">
        <is>
          <t>Intercepted successfully, displays correct target message.</t>
        </is>
      </c>
      <c r="I89" s="20" t="inlineStr">
        <is>
          <t>Pass</t>
        </is>
      </c>
      <c r="J89" s="26" t="n">
        <v>0.054</v>
      </c>
      <c r="K89" s="23" t="inlineStr">
        <is>
          <t>Input error states highlight</t>
        </is>
      </c>
    </row>
    <row r="90" ht="24" customHeight="1">
      <c r="A90" s="16" t="inlineStr">
        <is>
          <t>PM_VD_089</t>
        </is>
      </c>
      <c r="B90" s="17" t="inlineStr">
        <is>
          <t>Login Screen Password Length Restriction</t>
        </is>
      </c>
      <c r="C90" s="18" t="inlineStr">
        <is>
          <t>Validation</t>
        </is>
      </c>
      <c r="D90" s="18" t="inlineStr">
        <is>
          <t>Input Verification</t>
        </is>
      </c>
      <c r="E90" s="17" t="inlineStr">
        <is>
          <t>LoginScreen</t>
        </is>
      </c>
      <c r="F90" s="19" t="inlineStr">
        <is>
          <t>1. Enter 'user@email.com' in Email.
2. Enter '123' in Password.
3. Click Login.</t>
        </is>
      </c>
      <c r="G90" s="19" t="inlineStr">
        <is>
          <t>Intercepts submission, prints message: 'Password must be at least 6 characters.'.</t>
        </is>
      </c>
      <c r="H90" s="19" t="inlineStr">
        <is>
          <t>Short password validation error triggered, blocks authentications.</t>
        </is>
      </c>
      <c r="I90" s="20" t="inlineStr">
        <is>
          <t>Pass</t>
        </is>
      </c>
      <c r="J90" s="21" t="n">
        <v>0.03</v>
      </c>
      <c r="K90" s="17" t="inlineStr">
        <is>
          <t>Validation matches password rules</t>
        </is>
      </c>
    </row>
    <row r="91" ht="24" customHeight="1">
      <c r="A91" s="22" t="inlineStr">
        <is>
          <t>PM_VD_090</t>
        </is>
      </c>
      <c r="B91" s="23" t="inlineStr">
        <is>
          <t>Register Empty Full Name Block</t>
        </is>
      </c>
      <c r="C91" s="24" t="inlineStr">
        <is>
          <t>Validation</t>
        </is>
      </c>
      <c r="D91" s="24" t="inlineStr">
        <is>
          <t>Input Verification</t>
        </is>
      </c>
      <c r="E91" s="23" t="inlineStr">
        <is>
          <t>RegisterScreen</t>
        </is>
      </c>
      <c r="F91" s="25" t="inlineStr">
        <is>
          <t>1. Leave Name input blank.
2. Enter email, password.
3. Click Create Account.</t>
        </is>
      </c>
      <c r="G91" s="25" t="inlineStr">
        <is>
          <t>Error shown: 'Full Name cannot be empty.'. Blocks network sign-up requests.</t>
        </is>
      </c>
      <c r="H91" s="25" t="inlineStr">
        <is>
          <t>Blocked, error toast message shows name warning correctly.</t>
        </is>
      </c>
      <c r="I91" s="20" t="inlineStr">
        <is>
          <t>Pass</t>
        </is>
      </c>
      <c r="J91" s="26" t="n">
        <v>0.03</v>
      </c>
      <c r="K91" s="23" t="inlineStr">
        <is>
          <t>Tag: register_button</t>
        </is>
      </c>
    </row>
    <row r="92" ht="24" customHeight="1">
      <c r="A92" s="16" t="inlineStr">
        <is>
          <t>PM_VD_091</t>
        </is>
      </c>
      <c r="B92" s="17" t="inlineStr">
        <is>
          <t>Register Email Empty Block</t>
        </is>
      </c>
      <c r="C92" s="18" t="inlineStr">
        <is>
          <t>Validation</t>
        </is>
      </c>
      <c r="D92" s="18" t="inlineStr">
        <is>
          <t>Input Verification</t>
        </is>
      </c>
      <c r="E92" s="17" t="inlineStr">
        <is>
          <t>RegisterScreen</t>
        </is>
      </c>
      <c r="F92" s="19" t="inlineStr">
        <is>
          <t>1. Fill Name.
2. Leave Email blank.
3. Enter Password.
4. Click Create Account.</t>
        </is>
      </c>
      <c r="G92" s="19" t="inlineStr">
        <is>
          <t>Error shown: 'Email address cannot be empty.'. Prevents registrations.</t>
        </is>
      </c>
      <c r="H92" s="19" t="inlineStr">
        <is>
          <t>Registration blocked, displays email field warning.</t>
        </is>
      </c>
      <c r="I92" s="20" t="inlineStr">
        <is>
          <t>Pass</t>
        </is>
      </c>
      <c r="J92" s="21" t="n">
        <v>0.038</v>
      </c>
      <c r="K92" s="17" t="inlineStr">
        <is>
          <t>Input validation triggers instantly</t>
        </is>
      </c>
    </row>
    <row r="93" ht="24" customHeight="1">
      <c r="A93" s="22" t="inlineStr">
        <is>
          <t>PM_VD_092</t>
        </is>
      </c>
      <c r="B93" s="23" t="inlineStr">
        <is>
          <t>Register Invalid Email Format validation</t>
        </is>
      </c>
      <c r="C93" s="24" t="inlineStr">
        <is>
          <t>Validation</t>
        </is>
      </c>
      <c r="D93" s="24" t="inlineStr">
        <is>
          <t>Input Verification</t>
        </is>
      </c>
      <c r="E93" s="23" t="inlineStr">
        <is>
          <t>RegisterScreen</t>
        </is>
      </c>
      <c r="F93" s="25" t="inlineStr">
        <is>
          <t>1. Type 'name@server' into Email input.
2. Click Create Account.</t>
        </is>
      </c>
      <c r="G93" s="25" t="inlineStr">
        <is>
          <t>Catches missing dot suffix, prints 'Please enter a valid email address.'.</t>
        </is>
      </c>
      <c r="H93" s="25" t="inlineStr">
        <is>
          <t>Catches bad formatting, shows warning message.</t>
        </is>
      </c>
      <c r="I93" s="20" t="inlineStr">
        <is>
          <t>Pass</t>
        </is>
      </c>
      <c r="J93" s="26" t="n">
        <v>0.03</v>
      </c>
      <c r="K93" s="23" t="inlineStr">
        <is>
          <t>Tag: register_email_input</t>
        </is>
      </c>
    </row>
    <row r="94" ht="24" customHeight="1">
      <c r="A94" s="16" t="inlineStr">
        <is>
          <t>PM_VD_093</t>
        </is>
      </c>
      <c r="B94" s="17" t="inlineStr">
        <is>
          <t>Register Password Min Length constraints</t>
        </is>
      </c>
      <c r="C94" s="18" t="inlineStr">
        <is>
          <t>Validation</t>
        </is>
      </c>
      <c r="D94" s="18" t="inlineStr">
        <is>
          <t>Input Verification</t>
        </is>
      </c>
      <c r="E94" s="17" t="inlineStr">
        <is>
          <t>RegisterScreen</t>
        </is>
      </c>
      <c r="F94" s="19" t="inlineStr">
        <is>
          <t>1. Type '12345' into Password input.
2. Click Create Account.</t>
        </is>
      </c>
      <c r="G94" s="19" t="inlineStr">
        <is>
          <t>Validation intercepts, prints: 'Password must be at least 6 characters.'.</t>
        </is>
      </c>
      <c r="H94" s="19" t="inlineStr">
        <is>
          <t>Displays correct character warning, blocks thread execution.</t>
        </is>
      </c>
      <c r="I94" s="20" t="inlineStr">
        <is>
          <t>Pass</t>
        </is>
      </c>
      <c r="J94" s="21" t="n">
        <v>0.03</v>
      </c>
      <c r="K94" s="17" t="inlineStr">
        <is>
          <t>Security configuration check</t>
        </is>
      </c>
    </row>
    <row r="95" ht="24" customHeight="1">
      <c r="A95" s="22" t="inlineStr">
        <is>
          <t>PM_VD_094</t>
        </is>
      </c>
      <c r="B95" s="23" t="inlineStr">
        <is>
          <t>Register Password Match Check</t>
        </is>
      </c>
      <c r="C95" s="24" t="inlineStr">
        <is>
          <t>Validation</t>
        </is>
      </c>
      <c r="D95" s="24" t="inlineStr">
        <is>
          <t>Input Verification</t>
        </is>
      </c>
      <c r="E95" s="23" t="inlineStr">
        <is>
          <t>RegisterScreen</t>
        </is>
      </c>
      <c r="F95" s="25" t="inlineStr">
        <is>
          <t>1. Enter 'pass123' in Password.
2. Enter 'pass456' in Confirm Password.
3. Click Create.</t>
        </is>
      </c>
      <c r="G95" s="25" t="inlineStr">
        <is>
          <t>Validation catches mismatched passwords, displays: 'Passwords do not match. Confirm Password must match exactly.'.</t>
        </is>
      </c>
      <c r="H95" s="25" t="inlineStr">
        <is>
          <t>Catches mismatch, displays confirm mismatch warning.</t>
        </is>
      </c>
      <c r="I95" s="20" t="inlineStr">
        <is>
          <t>Pass</t>
        </is>
      </c>
      <c r="J95" s="26" t="n">
        <v>0.062</v>
      </c>
      <c r="K95" s="23" t="inlineStr">
        <is>
          <t>Tag: register_confirm_password_input</t>
        </is>
      </c>
    </row>
    <row r="96" ht="24" customHeight="1">
      <c r="A96" s="16" t="inlineStr">
        <is>
          <t>PM_VD_095</t>
        </is>
      </c>
      <c r="B96" s="17" t="inlineStr">
        <is>
          <t>Register Duplicate Email Network Block</t>
        </is>
      </c>
      <c r="C96" s="18" t="inlineStr">
        <is>
          <t>Validation</t>
        </is>
      </c>
      <c r="D96" s="18" t="inlineStr">
        <is>
          <t>API Verification</t>
        </is>
      </c>
      <c r="E96" s="17" t="inlineStr">
        <is>
          <t>RegisterScreen</t>
        </is>
      </c>
      <c r="F96" s="19" t="inlineStr">
        <is>
          <t>1. Attempt register with an email already present in user registry.
2. Click Create.</t>
        </is>
      </c>
      <c r="G96" s="19" t="inlineStr">
        <is>
          <t>Handles database error, displays: 'This email is already registered. Please login instead.'.</t>
        </is>
      </c>
      <c r="H96" s="19" t="inlineStr">
        <is>
          <t>Handled email conflict, displayed already registered alert.</t>
        </is>
      </c>
      <c r="I96" s="20" t="inlineStr">
        <is>
          <t>Pass</t>
        </is>
      </c>
      <c r="J96" s="21" t="n">
        <v>0.054</v>
      </c>
      <c r="K96" s="17" t="inlineStr">
        <is>
          <t>SQLite UNIQUE constraint handles exception</t>
        </is>
      </c>
    </row>
    <row r="97" ht="24" customHeight="1">
      <c r="A97" s="22" t="inlineStr">
        <is>
          <t>PM_VD_096</t>
        </is>
      </c>
      <c r="B97" s="23" t="inlineStr">
        <is>
          <t>Forgot Password Recovery Empty Email check</t>
        </is>
      </c>
      <c r="C97" s="24" t="inlineStr">
        <is>
          <t>Validation</t>
        </is>
      </c>
      <c r="D97" s="24" t="inlineStr">
        <is>
          <t>Input Verification</t>
        </is>
      </c>
      <c r="E97" s="23" t="inlineStr">
        <is>
          <t>LoginScreen</t>
        </is>
      </c>
      <c r="F97" s="25" t="inlineStr">
        <is>
          <t>1. Open forgot password modal.
2. Leave email input empty.
3. Click Recover.</t>
        </is>
      </c>
      <c r="G97" s="25" t="inlineStr">
        <is>
          <t>Error displays: 'Please enter a valid recovery email address.'. Dialog remains open.</t>
        </is>
      </c>
      <c r="H97" s="25" t="inlineStr">
        <is>
          <t>Blocked recovery trigger, displayed email warning.</t>
        </is>
      </c>
      <c r="I97" s="20" t="inlineStr">
        <is>
          <t>Pass</t>
        </is>
      </c>
      <c r="J97" s="26" t="n">
        <v>0.046</v>
      </c>
      <c r="K97" s="23" t="inlineStr">
        <is>
          <t>Tag: recovery_email_input</t>
        </is>
      </c>
    </row>
    <row r="98" ht="24" customHeight="1">
      <c r="A98" s="16" t="inlineStr">
        <is>
          <t>PM_VD_097</t>
        </is>
      </c>
      <c r="B98" s="17" t="inlineStr">
        <is>
          <t>Forgot Password Recovery Password Length check</t>
        </is>
      </c>
      <c r="C98" s="18" t="inlineStr">
        <is>
          <t>Validation</t>
        </is>
      </c>
      <c r="D98" s="18" t="inlineStr">
        <is>
          <t>Input Verification</t>
        </is>
      </c>
      <c r="E98" s="17" t="inlineStr">
        <is>
          <t>LoginScreen</t>
        </is>
      </c>
      <c r="F98" s="19" t="inlineStr">
        <is>
          <t>1. Open forgot password modal.
2. Fill valid email.
3. Enter password '123' in new pass input.
4. Click Recover.</t>
        </is>
      </c>
      <c r="G98" s="19" t="inlineStr">
        <is>
          <t>Error displays: 'Temp password must be at least 6 characters.'. Dialog remains open.</t>
        </is>
      </c>
      <c r="H98" s="19" t="inlineStr">
        <is>
          <t>Displays correct recovery password length error message.</t>
        </is>
      </c>
      <c r="I98" s="20" t="inlineStr">
        <is>
          <t>Pass</t>
        </is>
      </c>
      <c r="J98" s="21" t="n">
        <v>0.038</v>
      </c>
      <c r="K98" s="17" t="inlineStr">
        <is>
          <t>Tag: recovery_new_pass_input</t>
        </is>
      </c>
    </row>
    <row r="99" ht="24" customHeight="1">
      <c r="A99" s="22" t="inlineStr">
        <is>
          <t>PM_VD_098</t>
        </is>
      </c>
      <c r="B99" s="23" t="inlineStr">
        <is>
          <t>Save Mood without selecting Rating Rating Guard</t>
        </is>
      </c>
      <c r="C99" s="24" t="inlineStr">
        <is>
          <t>Validation</t>
        </is>
      </c>
      <c r="D99" s="24" t="inlineStr">
        <is>
          <t>Input Verification</t>
        </is>
      </c>
      <c r="E99" s="23" t="inlineStr">
        <is>
          <t>MoodScreen</t>
        </is>
      </c>
      <c r="F99" s="25" t="inlineStr">
        <is>
          <t>1. Navigate to Mood.
2. Enter note.
3. Leave rating star empty.
4. Click Save Mood.</t>
        </is>
      </c>
      <c r="G99" s="25" t="inlineStr">
        <is>
          <t>Shows validation warning: 'Please select a rating score star before logging mood.'. Blocks Save.</t>
        </is>
      </c>
      <c r="H99" s="25" t="inlineStr">
        <is>
          <t>Save blocked, displays rating selection error toast.</t>
        </is>
      </c>
      <c r="I99" s="20" t="inlineStr">
        <is>
          <t>Pass</t>
        </is>
      </c>
      <c r="J99" s="26" t="n">
        <v>0.046</v>
      </c>
      <c r="K99" s="23" t="inlineStr">
        <is>
          <t>Tag: save_mood_button</t>
        </is>
      </c>
    </row>
    <row r="100" ht="24" customHeight="1">
      <c r="A100" s="16" t="inlineStr">
        <is>
          <t>PM_VD_099</t>
        </is>
      </c>
      <c r="B100" s="17" t="inlineStr">
        <is>
          <t>Save Mood Note String Length constraints</t>
        </is>
      </c>
      <c r="C100" s="18" t="inlineStr">
        <is>
          <t>Validation</t>
        </is>
      </c>
      <c r="D100" s="18" t="inlineStr">
        <is>
          <t>Input Verification</t>
        </is>
      </c>
      <c r="E100" s="17" t="inlineStr">
        <is>
          <t>MoodScreen</t>
        </is>
      </c>
      <c r="F100" s="19" t="inlineStr">
        <is>
          <t>1. Paste 1000 character note inside note input text field.
2. Click Save.</t>
        </is>
      </c>
      <c r="G100" s="19" t="inlineStr">
        <is>
          <t>Validation intercepts note length. Displays warning: 'Mood note details cannot exceed 500 characters.'.</t>
        </is>
      </c>
      <c r="H100" s="19" t="inlineStr">
        <is>
          <t>Input intercepted successfully, displays text limit warning toast.</t>
        </is>
      </c>
      <c r="I100" s="20" t="inlineStr">
        <is>
          <t>Pass</t>
        </is>
      </c>
      <c r="J100" s="21" t="n">
        <v>0.03</v>
      </c>
      <c r="K100" s="17" t="inlineStr">
        <is>
          <t>Tag: mood_note_input</t>
        </is>
      </c>
    </row>
    <row r="101" ht="24" customHeight="1">
      <c r="A101" s="22" t="inlineStr">
        <is>
          <t>PM_VD_100</t>
        </is>
      </c>
      <c r="B101" s="23" t="inlineStr">
        <is>
          <t>Save Diary Blank Title or Content Block</t>
        </is>
      </c>
      <c r="C101" s="24" t="inlineStr">
        <is>
          <t>Validation</t>
        </is>
      </c>
      <c r="D101" s="24" t="inlineStr">
        <is>
          <t>Input Verification</t>
        </is>
      </c>
      <c r="E101" s="23" t="inlineStr">
        <is>
          <t>DiaryScreen</t>
        </is>
      </c>
      <c r="F101" s="25" t="inlineStr">
        <is>
          <t>1. Click add_diary_fab.
2. Leave title and content blank.
3. Click Save.</t>
        </is>
      </c>
      <c r="G101" s="25" t="inlineStr">
        <is>
          <t>Error message shows 'Title and Content cannot be empty.'. Dialog remains open.</t>
        </is>
      </c>
      <c r="H101" s="25" t="inlineStr">
        <is>
          <t>Blocked database transaction, warning toast message triggered.</t>
        </is>
      </c>
      <c r="I101" s="20" t="inlineStr">
        <is>
          <t>Pass</t>
        </is>
      </c>
      <c r="J101" s="26" t="n">
        <v>0.062</v>
      </c>
      <c r="K101" s="23" t="inlineStr">
        <is>
          <t>Tags: dialog_diary_title, dialog_diary_content</t>
        </is>
      </c>
    </row>
    <row r="102" ht="24" customHeight="1">
      <c r="A102" s="16" t="inlineStr">
        <is>
          <t>PM_VD_101</t>
        </is>
      </c>
      <c r="B102" s="17" t="inlineStr">
        <is>
          <t>Save Diary Title Length Limit Check</t>
        </is>
      </c>
      <c r="C102" s="18" t="inlineStr">
        <is>
          <t>Validation</t>
        </is>
      </c>
      <c r="D102" s="18" t="inlineStr">
        <is>
          <t>Input Verification</t>
        </is>
      </c>
      <c r="E102" s="17" t="inlineStr">
        <is>
          <t>DiaryScreen</t>
        </is>
      </c>
      <c r="F102" s="19" t="inlineStr">
        <is>
          <t>1. Click add_diary_fab.
2. Write title exceeding 100 characters.
3. Click Save.</t>
        </is>
      </c>
      <c r="G102" s="19" t="inlineStr">
        <is>
          <t>Error printed: 'Diary entry title cannot exceed 100 characters.'. Keeps dialog active.</t>
        </is>
      </c>
      <c r="H102" s="19" t="inlineStr">
        <is>
          <t>Intercepted title overflow correctly, displays warning message.</t>
        </is>
      </c>
      <c r="I102" s="20" t="inlineStr">
        <is>
          <t>Pass</t>
        </is>
      </c>
      <c r="J102" s="21" t="n">
        <v>0.03</v>
      </c>
      <c r="K102" s="17" t="inlineStr">
        <is>
          <t>Prevents title wrapping layouts breaks</t>
        </is>
      </c>
    </row>
    <row r="103" ht="24" customHeight="1">
      <c r="A103" s="22" t="inlineStr">
        <is>
          <t>PM_VD_102</t>
        </is>
      </c>
      <c r="B103" s="23" t="inlineStr">
        <is>
          <t>Settings Profile Update Name Empty check</t>
        </is>
      </c>
      <c r="C103" s="24" t="inlineStr">
        <is>
          <t>Validation</t>
        </is>
      </c>
      <c r="D103" s="24" t="inlineStr">
        <is>
          <t>Input Verification</t>
        </is>
      </c>
      <c r="E103" s="23" t="inlineStr">
        <is>
          <t>SettingsScreen</t>
        </is>
      </c>
      <c r="F103" s="25" t="inlineStr">
        <is>
          <t>1. Open profile edits.
2. Clear Name input field.
3. Click Save.</t>
        </is>
      </c>
      <c r="G103" s="25" t="inlineStr">
        <is>
          <t>Validation intercept shows message: 'Profile display name cannot be blank.'. Saves blocked.</t>
        </is>
      </c>
      <c r="H103" s="25" t="inlineStr">
        <is>
          <t>Blocked blank name update successfully, displays display name error message.</t>
        </is>
      </c>
      <c r="I103" s="20" t="inlineStr">
        <is>
          <t>Pass</t>
        </is>
      </c>
      <c r="J103" s="26" t="n">
        <v>0.03</v>
      </c>
      <c r="K103" s="23" t="inlineStr">
        <is>
          <t>Tag: settings_name_input</t>
        </is>
      </c>
    </row>
    <row r="104" ht="24" customHeight="1">
      <c r="A104" s="16" t="inlineStr">
        <is>
          <t>PM_VD_103</t>
        </is>
      </c>
      <c r="B104" s="17" t="inlineStr">
        <is>
          <t>Settings Profile Update Email Format check</t>
        </is>
      </c>
      <c r="C104" s="18" t="inlineStr">
        <is>
          <t>Validation</t>
        </is>
      </c>
      <c r="D104" s="18" t="inlineStr">
        <is>
          <t>Input Verification</t>
        </is>
      </c>
      <c r="E104" s="17" t="inlineStr">
        <is>
          <t>SettingsScreen</t>
        </is>
      </c>
      <c r="F104" s="19" t="inlineStr">
        <is>
          <t>1. Open profile edits.
2. Enter invalid email string 'name@domain'.
3. Click Save.</t>
        </is>
      </c>
      <c r="G104" s="19" t="inlineStr">
        <is>
          <t>Interceptions code displays email format warning, prevents database update.</t>
        </is>
      </c>
      <c r="H104" s="19" t="inlineStr">
        <is>
          <t>Displays correct email format error toast, database unchanged.</t>
        </is>
      </c>
      <c r="I104" s="20" t="inlineStr">
        <is>
          <t>Pass</t>
        </is>
      </c>
      <c r="J104" s="21" t="n">
        <v>0.046</v>
      </c>
      <c r="K104" s="17" t="inlineStr">
        <is>
          <t>Tag: settings_email_input</t>
        </is>
      </c>
    </row>
    <row r="105" ht="24" customHeight="1">
      <c r="A105" s="22" t="inlineStr">
        <is>
          <t>PM_VD_104</t>
        </is>
      </c>
      <c r="B105" s="23" t="inlineStr">
        <is>
          <t>Direct Route Access Route Guard redirects login</t>
        </is>
      </c>
      <c r="C105" s="24" t="inlineStr">
        <is>
          <t>Validation</t>
        </is>
      </c>
      <c r="D105" s="24" t="inlineStr">
        <is>
          <t>Security Verification</t>
        </is>
      </c>
      <c r="E105" s="23" t="inlineStr">
        <is>
          <t>MainContainer</t>
        </is>
      </c>
      <c r="F105" s="25" t="inlineStr">
        <is>
          <t>1. Force navigate routing stack to 'main' route when user session is null.</t>
        </is>
      </c>
      <c r="G105" s="25" t="inlineStr">
        <is>
          <t>App automatically catches missing session token state, redirects instantly to 'login' screen.</t>
        </is>
      </c>
      <c r="H105" s="25" t="inlineStr">
        <is>
          <t>Automatically redirected user to login route, login screen displayed.</t>
        </is>
      </c>
      <c r="I105" s="20" t="inlineStr">
        <is>
          <t>Pass</t>
        </is>
      </c>
      <c r="J105" s="26" t="n">
        <v>0.046</v>
      </c>
      <c r="K105" s="23" t="inlineStr">
        <is>
          <t>Automated LaunchedEffect session listener acts as routing guard</t>
        </is>
      </c>
    </row>
    <row r="106" ht="24" customHeight="1">
      <c r="A106" s="16" t="inlineStr">
        <is>
          <t>PM_VD_105</t>
        </is>
      </c>
      <c r="B106" s="17" t="inlineStr">
        <is>
          <t>AI Companion Empty Message Input Send block</t>
        </is>
      </c>
      <c r="C106" s="18" t="inlineStr">
        <is>
          <t>Validation</t>
        </is>
      </c>
      <c r="D106" s="18" t="inlineStr">
        <is>
          <t>Input Verification</t>
        </is>
      </c>
      <c r="E106" s="17" t="inlineStr">
        <is>
          <t>AiCompanionScreen</t>
        </is>
      </c>
      <c r="F106" s="19" t="inlineStr">
        <is>
          <t>1. Leave message chat input blank.
2. Click send message button.</t>
        </is>
      </c>
      <c r="G106" s="19" t="inlineStr">
        <is>
          <t>Click is ignored or triggers validation block. AI chatbot thread does not launch request.</t>
        </is>
      </c>
      <c r="H106" s="19" t="inlineStr">
        <is>
          <t>Send message button click ignored, blank spaces trimmed before evaluate.</t>
        </is>
      </c>
      <c r="I106" s="27" t="inlineStr">
        <is>
          <t>Skip</t>
        </is>
      </c>
      <c r="J106" s="21" t="n">
        <v>0.054</v>
      </c>
      <c r="K106" s="17" t="inlineStr">
        <is>
          <t>Skipped - button is disabled by state ui flow directly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2026-06-15T04:52:05Z</dcterms:created>
  <dcterms:modified xsi:type="dcterms:W3CDTF">2026-06-15T04:52:05Z</dcterms:modified>
</cp:coreProperties>
</file>